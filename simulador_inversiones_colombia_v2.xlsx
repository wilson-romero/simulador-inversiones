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lson\Documents\Wilson Romero\Universidad\Semestre 1\2026 1-MATEMATICA FUNDAMENTAL-2314-1A MOM 1 VIRTUAL\Proyecto\Entrega Final\"/>
    </mc:Choice>
  </mc:AlternateContent>
  <xr:revisionPtr revIDLastSave="0" documentId="13_ncr:20001_{2C818FA2-9F23-4351-9CB0-C96E8069D7B5}" xr6:coauthVersionLast="47" xr6:coauthVersionMax="47" xr10:uidLastSave="{00000000-0000-0000-0000-000000000000}"/>
  <bookViews>
    <workbookView xWindow="29890" yWindow="-5700" windowWidth="38620" windowHeight="25100" tabRatio="500" xr2:uid="{00000000-000D-0000-FFFF-FFFF00000000}"/>
  </bookViews>
  <sheets>
    <sheet name="INICIO" sheetId="10" r:id="rId1"/>
    <sheet name="SIMULADOR" sheetId="2" r:id="rId2"/>
    <sheet name="MI META" sheetId="3" r:id="rId3"/>
    <sheet name="TASAS EN VIVO" sheetId="4" r:id="rId4"/>
    <sheet name="_DATOS_API" sheetId="17" r:id="rId5"/>
    <sheet name="_DATOS_FPV" sheetId="16" r:id="rId6"/>
  </sheets>
  <definedNames>
    <definedName name="DatosExternos_1" localSheetId="5" hidden="1">_DATOS_FPV!$A$2:$E$502</definedName>
    <definedName name="DatosExternos_2" localSheetId="4" hidden="1">_DATOS_API!$A$2:$D$502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0" l="1"/>
  <c r="C11" i="10"/>
  <c r="B13" i="4"/>
  <c r="F8" i="4" a="1"/>
  <c r="F8" i="4" s="1"/>
  <c r="D8" i="4" s="1"/>
  <c r="F7" i="4" a="1"/>
  <c r="F7" i="4" s="1"/>
  <c r="D7" i="4" s="1"/>
  <c r="F6" i="4" a="1"/>
  <c r="F6" i="4" s="1"/>
  <c r="D6" i="4" s="1"/>
  <c r="F10" i="4" a="1"/>
  <c r="F10" i="4" s="1"/>
  <c r="D10" i="4" s="1"/>
  <c r="F9" i="4" a="1"/>
  <c r="F9" i="4" s="1"/>
  <c r="D9" i="4" s="1"/>
  <c r="B5" i="3"/>
  <c r="C9" i="4" l="1"/>
  <c r="E12" i="2" s="1"/>
  <c r="E15" i="2" s="1"/>
  <c r="E15" i="3" s="1"/>
  <c r="C10" i="4"/>
  <c r="F12" i="2" s="1"/>
  <c r="F15" i="2" s="1"/>
  <c r="C6" i="4"/>
  <c r="B12" i="2" s="1"/>
  <c r="B15" i="2" s="1"/>
  <c r="B15" i="3" s="1"/>
  <c r="C7" i="4"/>
  <c r="C12" i="2" s="1"/>
  <c r="C15" i="2" s="1"/>
  <c r="C15" i="3" s="1"/>
  <c r="C8" i="4"/>
  <c r="D12" i="2" s="1"/>
  <c r="D15" i="2" s="1"/>
  <c r="D15" i="3" s="1"/>
  <c r="B6" i="3"/>
  <c r="B36" i="2" l="1"/>
  <c r="B42" i="2"/>
  <c r="B37" i="2"/>
  <c r="B17" i="2"/>
  <c r="B49" i="2" s="1"/>
  <c r="B16" i="3"/>
  <c r="B40" i="2"/>
  <c r="B39" i="2"/>
  <c r="B44" i="2"/>
  <c r="B41" i="2"/>
  <c r="B43" i="2"/>
  <c r="F16" i="3"/>
  <c r="F10" i="3"/>
  <c r="F11" i="3" s="1"/>
  <c r="E17" i="2"/>
  <c r="E52" i="2" s="1"/>
  <c r="E44" i="2"/>
  <c r="E41" i="2"/>
  <c r="E39" i="2"/>
  <c r="E10" i="3"/>
  <c r="E11" i="3" s="1"/>
  <c r="E42" i="2"/>
  <c r="E38" i="2"/>
  <c r="E37" i="2"/>
  <c r="E46" i="2"/>
  <c r="E16" i="3"/>
  <c r="E43" i="2"/>
  <c r="E36" i="2"/>
  <c r="E45" i="2"/>
  <c r="E40" i="2"/>
  <c r="B10" i="3"/>
  <c r="B11" i="3" s="1"/>
  <c r="B38" i="2"/>
  <c r="B45" i="2"/>
  <c r="B46" i="2"/>
  <c r="F38" i="2"/>
  <c r="F17" i="2"/>
  <c r="F49" i="2" s="1"/>
  <c r="F41" i="2"/>
  <c r="F39" i="2"/>
  <c r="F15" i="3"/>
  <c r="F46" i="2"/>
  <c r="F36" i="2"/>
  <c r="F43" i="2"/>
  <c r="F44" i="2"/>
  <c r="F40" i="2"/>
  <c r="F37" i="2"/>
  <c r="F45" i="2"/>
  <c r="F42" i="2"/>
  <c r="C46" i="2"/>
  <c r="C37" i="2"/>
  <c r="D36" i="2"/>
  <c r="D46" i="2"/>
  <c r="C10" i="3"/>
  <c r="C11" i="3" s="1"/>
  <c r="D37" i="2"/>
  <c r="C39" i="2"/>
  <c r="C38" i="2"/>
  <c r="D39" i="2"/>
  <c r="D40" i="2"/>
  <c r="C40" i="2"/>
  <c r="D10" i="3"/>
  <c r="D11" i="3" s="1"/>
  <c r="D45" i="2"/>
  <c r="C45" i="2"/>
  <c r="C43" i="2"/>
  <c r="D41" i="2"/>
  <c r="C36" i="2"/>
  <c r="D16" i="3"/>
  <c r="C16" i="3"/>
  <c r="D44" i="2"/>
  <c r="D17" i="2"/>
  <c r="D18" i="2" s="1"/>
  <c r="D19" i="2" s="1"/>
  <c r="D20" i="2" s="1"/>
  <c r="D21" i="2" s="1"/>
  <c r="D22" i="2" s="1"/>
  <c r="D50" i="2" s="1"/>
  <c r="C42" i="2"/>
  <c r="D38" i="2"/>
  <c r="C41" i="2"/>
  <c r="D42" i="2"/>
  <c r="D43" i="2"/>
  <c r="C17" i="2"/>
  <c r="C49" i="2" s="1"/>
  <c r="C44" i="2"/>
  <c r="B18" i="2" l="1"/>
  <c r="B19" i="2" s="1"/>
  <c r="B20" i="2" s="1"/>
  <c r="B21" i="2" s="1"/>
  <c r="B22" i="2" s="1"/>
  <c r="B50" i="2" s="1"/>
  <c r="B52" i="2"/>
  <c r="F18" i="2"/>
  <c r="F19" i="2" s="1"/>
  <c r="F20" i="2" s="1"/>
  <c r="F21" i="2" s="1"/>
  <c r="F22" i="2" s="1"/>
  <c r="F50" i="2" s="1"/>
  <c r="E18" i="2"/>
  <c r="E19" i="2" s="1"/>
  <c r="E20" i="2" s="1"/>
  <c r="E21" i="2" s="1"/>
  <c r="E22" i="2" s="1"/>
  <c r="E50" i="2" s="1"/>
  <c r="E49" i="2"/>
  <c r="F52" i="2"/>
  <c r="C18" i="2"/>
  <c r="C19" i="2" s="1"/>
  <c r="C20" i="2" s="1"/>
  <c r="C21" i="2" s="1"/>
  <c r="C22" i="2" s="1"/>
  <c r="C50" i="2" s="1"/>
  <c r="D49" i="2"/>
  <c r="B21" i="3"/>
  <c r="B20" i="3"/>
  <c r="D52" i="2"/>
  <c r="C52" i="2"/>
  <c r="D23" i="2"/>
  <c r="F23" i="2" l="1"/>
  <c r="B29" i="2"/>
  <c r="E23" i="2"/>
  <c r="C23" i="2"/>
  <c r="F24" i="2"/>
  <c r="B28" i="2"/>
  <c r="B24" i="2"/>
  <c r="B32" i="2"/>
  <c r="B30" i="2"/>
  <c r="B23" i="2"/>
  <c r="C24" i="2"/>
  <c r="D24" i="2"/>
  <c r="E24" i="2"/>
  <c r="B3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A6025D-9591-4BFF-B750-A500ADB7DEF3}" keepAlive="1" name="Consulta - CDT_Ahorro_Tasas" description="Conexión a la consulta 'CDT_Ahorro_Tasas' en el libro." type="5" refreshedVersion="8" background="1" saveData="1">
    <dbPr connection="Provider=Microsoft.Mashup.OleDb.1;Data Source=$Workbook$;Location=CDT_Ahorro_Tasas;Extended Properties=&quot;&quot;" command="SELECT * FROM [CDT_Ahorro_Tasas]"/>
  </connection>
  <connection id="2" xr16:uid="{ADCA70FF-7B15-4F82-9BB7-C5BC65948C9D}" keepAlive="1" name="Consulta - FPV_Fondos" description="Conexión a la consulta 'FPV_Fondos' en el libro." type="5" refreshedVersion="8" background="1" saveData="1">
    <dbPr connection="Provider=Microsoft.Mashup.OleDb.1;Data Source=$Workbook$;Location=FPV_Fondos;Extended Properties=&quot;&quot;" command="SELECT * FROM [FPV_Fond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<sst xmlns="http://schemas.openxmlformats.org/spreadsheetml/2006/main" count="4655" uniqueCount="1291">
  <si>
    <t>💰 SIMULADOR DE INVERSIONES COLOMBIA</t>
  </si>
  <si>
    <t>Compara opciones y encuentra la mejor inversión para ti</t>
  </si>
  <si>
    <t>📝 TUS DATOS</t>
  </si>
  <si>
    <t>¿Cuánto dinero quieres invertir?</t>
  </si>
  <si>
    <t>💡 Escribe el monto en pesos colombianos</t>
  </si>
  <si>
    <t>¿Por cuántos años?</t>
  </si>
  <si>
    <t>💡 Mínimo 1 año, máximo 30 años</t>
  </si>
  <si>
    <t>Inflación anual estimada</t>
  </si>
  <si>
    <t>💡 IPC Colombia dic 2025: 5.1% (DANE)</t>
  </si>
  <si>
    <t>Retención en la fuente</t>
  </si>
  <si>
    <t>💡 4% sobre ganancias (fijado por ley)</t>
  </si>
  <si>
    <t>📊 COMPARACIÓN DE INVERSIONES</t>
  </si>
  <si>
    <t>🏦 Cuenta
Ahorro</t>
  </si>
  <si>
    <t>📄 CDT
90 días</t>
  </si>
  <si>
    <t>📄 CDT
360 días</t>
  </si>
  <si>
    <t>📈 FPV
Conservador</t>
  </si>
  <si>
    <t>📈 FPV
Moderado</t>
  </si>
  <si>
    <t>Tasa de interés anual</t>
  </si>
  <si>
    <t>Frecuencia de ganancia</t>
  </si>
  <si>
    <t>Mensual (12/año)</t>
  </si>
  <si>
    <t>Trimestral (4/año)</t>
  </si>
  <si>
    <t>Anual (1/año)</t>
  </si>
  <si>
    <t>💵 ¿Cuánto tendrás al final?</t>
  </si>
  <si>
    <t>💰 Ganancia bruta total</t>
  </si>
  <si>
    <t>📋 Impuestos descontados</t>
  </si>
  <si>
    <t>💵 Recibes después de impuestos</t>
  </si>
  <si>
    <t>💵 Valor real (descontando inflación)</t>
  </si>
  <si>
    <t>📊 Ganancia real neta</t>
  </si>
  <si>
    <t>📈 Rendimiento real (%)</t>
  </si>
  <si>
    <t>🏆 Ranking</t>
  </si>
  <si>
    <t>🏆 NUESTRA RECOMENDACIÓN</t>
  </si>
  <si>
    <t>🥇 Tu mejor opción es:</t>
  </si>
  <si>
    <t>🏦 Total que recibirás:</t>
  </si>
  <si>
    <t>(después de impuestos)</t>
  </si>
  <si>
    <t>💰 Ganancia real:</t>
  </si>
  <si>
    <t>(descontando inflación e impuestos)</t>
  </si>
  <si>
    <t>📈 Rendimiento real:</t>
  </si>
  <si>
    <t>⏱️ Tu dinero se duplica en:</t>
  </si>
  <si>
    <t>📈 EVOLUCIÓN DE TU INVERSIÓN AÑO A AÑO</t>
  </si>
  <si>
    <t>Año</t>
  </si>
  <si>
    <t>Cuenta Ahorro</t>
  </si>
  <si>
    <t>CDT 90 días</t>
  </si>
  <si>
    <t>CDT 360 días</t>
  </si>
  <si>
    <t>FPV Conservador</t>
  </si>
  <si>
    <t>FPV Moderado</t>
  </si>
  <si>
    <t>Alternativa</t>
  </si>
  <si>
    <t>🎯 CALCULADORA DE META DE AHORRO</t>
  </si>
  <si>
    <t>¿Cuánto tiempo necesitas para alcanzar tu meta?</t>
  </si>
  <si>
    <t>📝 DEFINE TU META</t>
  </si>
  <si>
    <t>¿Cuánto quieres tener?</t>
  </si>
  <si>
    <t>💡 Tu meta de ahorro en pesos colombianos</t>
  </si>
  <si>
    <t>Tu capital inicial (del Simulador):</t>
  </si>
  <si>
    <t>🔗 Se toma del Simulador automáticamente</t>
  </si>
  <si>
    <t>Necesitas multiplicar tu dinero por:</t>
  </si>
  <si>
    <t>⏱️ TIEMPO PARA ALCANZAR TU META</t>
  </si>
  <si>
    <t>📅 Años para llegar a tu meta</t>
  </si>
  <si>
    <t>📅 Equivalente en meses</t>
  </si>
  <si>
    <t>⏱️ ¿CUÁNDO SE DUPLICA TU DINERO?</t>
  </si>
  <si>
    <t>📅 Años para duplicar tu capital</t>
  </si>
  <si>
    <t>Regla rápida del 72 (aprox.)</t>
  </si>
  <si>
    <t>🏆 LLEGARÁS MÁS RÁPIDO CON:</t>
  </si>
  <si>
    <t>🥇 Mejor opción:</t>
  </si>
  <si>
    <t>⏱️ Llegarás en:</t>
  </si>
  <si>
    <t>🌐 TASAS CDT EN TIEMPO REAL - COLOMBIA</t>
  </si>
  <si>
    <t>Datos de la Superintendencia Financiera vía datos.gov.co</t>
  </si>
  <si>
    <t>Banco de Occidente</t>
  </si>
  <si>
    <t>Banco Santander</t>
  </si>
  <si>
    <t>Tuya</t>
  </si>
  <si>
    <t>fechacorte</t>
  </si>
  <si>
    <t>nombreentidad</t>
  </si>
  <si>
    <t>descripcion</t>
  </si>
  <si>
    <t>tasa</t>
  </si>
  <si>
    <t>⚡ TASAS VINCULADAS AL SIMULADOR</t>
  </si>
  <si>
    <t>Tasa actual</t>
  </si>
  <si>
    <t>Estado</t>
  </si>
  <si>
    <t>"RappiPAY"</t>
  </si>
  <si>
    <t>SALDO EN DEPOSITOS DE AHORRO INACTIVOS Y ABANDONADOS PERSONA NATURAL</t>
  </si>
  <si>
    <t>7.9</t>
  </si>
  <si>
    <t>Crezcamos</t>
  </si>
  <si>
    <t>0.5</t>
  </si>
  <si>
    <t>1</t>
  </si>
  <si>
    <t>Banco de Bogotá S.A.</t>
  </si>
  <si>
    <t>8</t>
  </si>
  <si>
    <t>SALDO EN DEPOSITOS DE AHORRO ACTIVOS ENTIDADES OFICIALES Y PUBLICAS</t>
  </si>
  <si>
    <t>0</t>
  </si>
  <si>
    <t>A 360 DIAS</t>
  </si>
  <si>
    <t>11</t>
  </si>
  <si>
    <t>Corficolombiana S.A.</t>
  </si>
  <si>
    <t>3</t>
  </si>
  <si>
    <t>A  1  DIA  HABIL (OVERNIGHT MONEDA LOCAL)</t>
  </si>
  <si>
    <t>Credifamilia</t>
  </si>
  <si>
    <t>SALDO EN CUENTAS DE AHORRO ESPECIAL EN UNIDADES DE VALOR REAL</t>
  </si>
  <si>
    <t>Banco Colpatria</t>
  </si>
  <si>
    <t>A 180 DIAS</t>
  </si>
  <si>
    <t>4.18</t>
  </si>
  <si>
    <t>Banco Credifinanciera S.A.</t>
  </si>
  <si>
    <t>SALDO EN DEPOSITOS DE AHORRO ACTIVOS PERSONA JURIDICA</t>
  </si>
  <si>
    <t>Banco Popular</t>
  </si>
  <si>
    <t>SUPERIORES A 360 DIAS</t>
  </si>
  <si>
    <t>BANCO DE LA REPUBLICA</t>
  </si>
  <si>
    <t>Banco Serfinanza S.A.</t>
  </si>
  <si>
    <t>ENTRE 121 Y 179 DIAS</t>
  </si>
  <si>
    <t>9.39</t>
  </si>
  <si>
    <t>Bancamía S.A.</t>
  </si>
  <si>
    <t>BANCO AGRARIO DE COLOMBIA  o BANAGRARIO.</t>
  </si>
  <si>
    <t>Banco Falabella S.A.</t>
  </si>
  <si>
    <t>SALDO EN CUENTAS DE AHORRO AFC EN PESOS</t>
  </si>
  <si>
    <t>CAPTACIONES A TRAVES DE CDT POR RED DE OFICINAS</t>
  </si>
  <si>
    <t>Banco Davivienda</t>
  </si>
  <si>
    <t>5.4</t>
  </si>
  <si>
    <t>Banco W S.A.</t>
  </si>
  <si>
    <t>ENTRE 91 Y 119 DIAS</t>
  </si>
  <si>
    <t>5.2</t>
  </si>
  <si>
    <t>12</t>
  </si>
  <si>
    <t>Banco GNB Sudameris</t>
  </si>
  <si>
    <t>SALDO EN CERTIFICADOS DE AHORRO DE VALOR REAL (CAVR)</t>
  </si>
  <si>
    <t>9.2</t>
  </si>
  <si>
    <t>Cotrafa</t>
  </si>
  <si>
    <t>1.79</t>
  </si>
  <si>
    <t>Cooperativa Financiera JFK</t>
  </si>
  <si>
    <t>A 120 DIAS</t>
  </si>
  <si>
    <t>4.84</t>
  </si>
  <si>
    <t>SALDO EN CUENTAS DE AHORRO ESPECIAL EN PESOS</t>
  </si>
  <si>
    <t>ENTRE 31 Y 44 DIAS</t>
  </si>
  <si>
    <t>Cooperativa Financiera de Antioquia</t>
  </si>
  <si>
    <t>SALDO EN DEPOSITOS DE AHORRO INACTIVOS Y ABANDONADOS PERSONA JURIDICA</t>
  </si>
  <si>
    <t>CAPTACIONES A TRAVES DE CDT POR TESORERIA</t>
  </si>
  <si>
    <t>Banco Caja Social S.A.</t>
  </si>
  <si>
    <t>A 60 DIAS</t>
  </si>
  <si>
    <t>Findeter</t>
  </si>
  <si>
    <t>ENTRE 181 Y 359 DIAS</t>
  </si>
  <si>
    <t>5.88</t>
  </si>
  <si>
    <t>Financiera Juriscoop C.F.</t>
  </si>
  <si>
    <t>10</t>
  </si>
  <si>
    <t>SALDO EN DEPOSITOS DE AHORRO ACTIVOS PERSONA NATURAL</t>
  </si>
  <si>
    <t>1.35</t>
  </si>
  <si>
    <t>A 90 DIAS</t>
  </si>
  <si>
    <t>1.06</t>
  </si>
  <si>
    <t>4.79</t>
  </si>
  <si>
    <t>BBVA Colombia</t>
  </si>
  <si>
    <t>7.7</t>
  </si>
  <si>
    <t>Mibanco S.A.</t>
  </si>
  <si>
    <t>SALDO EN DEPOSITOS DE AHORRO INACTIVOS Y ABANDONADOS ENTIDADES OFICIALES</t>
  </si>
  <si>
    <t>9</t>
  </si>
  <si>
    <t>Citibank</t>
  </si>
  <si>
    <t>ESTABLECIMIENTOS DE CREDITO</t>
  </si>
  <si>
    <t>10.75</t>
  </si>
  <si>
    <t>9.75</t>
  </si>
  <si>
    <t>9.69</t>
  </si>
  <si>
    <t>Itaú; Banco Itaú.</t>
  </si>
  <si>
    <t>ENTRE 61 Y 89 DIAS</t>
  </si>
  <si>
    <t>0.47</t>
  </si>
  <si>
    <t>Bancolombia</t>
  </si>
  <si>
    <t>ENTRE 2 Y 5 DIAS HABILES (SOLO EN PESOS)</t>
  </si>
  <si>
    <t>2.93</t>
  </si>
  <si>
    <t>12.59</t>
  </si>
  <si>
    <t>1.34</t>
  </si>
  <si>
    <t>CAPTACIONES A TRAVES DE CDAT POR RED DE OFICINAS</t>
  </si>
  <si>
    <t>0.4</t>
  </si>
  <si>
    <t>BNP PARIBAS COLOMBIA  (la "Sociedad")</t>
  </si>
  <si>
    <t>1.07</t>
  </si>
  <si>
    <t>3.77</t>
  </si>
  <si>
    <t>5.5</t>
  </si>
  <si>
    <t>Banco Mundo Mujer S.A.</t>
  </si>
  <si>
    <t>AV Villas</t>
  </si>
  <si>
    <t>Confiar</t>
  </si>
  <si>
    <t>5.01</t>
  </si>
  <si>
    <t>Bancoomeva</t>
  </si>
  <si>
    <t>Coopcentral</t>
  </si>
  <si>
    <t>0.21</t>
  </si>
  <si>
    <t>10.57</t>
  </si>
  <si>
    <t>Coltefinanciera</t>
  </si>
  <si>
    <t>9.13</t>
  </si>
  <si>
    <t>8.83</t>
  </si>
  <si>
    <t>ENTRE 91 Y 180 DIAS</t>
  </si>
  <si>
    <t>6.1</t>
  </si>
  <si>
    <t>2.8</t>
  </si>
  <si>
    <t>La Hipotecaria</t>
  </si>
  <si>
    <t>Finandina Bic o Banco Finandina Bic o Finandina.</t>
  </si>
  <si>
    <t>10.53</t>
  </si>
  <si>
    <t>9.71</t>
  </si>
  <si>
    <t>Banco Pichincha S.A.</t>
  </si>
  <si>
    <t>10.11</t>
  </si>
  <si>
    <t>3.39</t>
  </si>
  <si>
    <t>ENTRE 1 Y 5 DIAS HABILES (UNICAMENTE EN  USD$)</t>
  </si>
  <si>
    <t>1.77</t>
  </si>
  <si>
    <t>Finagro</t>
  </si>
  <si>
    <t>GM Financial Colombia S.A. Compañía De Financiamiento</t>
  </si>
  <si>
    <t>A 30 DIAS</t>
  </si>
  <si>
    <t>4.75</t>
  </si>
  <si>
    <t>8.99</t>
  </si>
  <si>
    <t>7.09</t>
  </si>
  <si>
    <t>9.49</t>
  </si>
  <si>
    <t>1.4</t>
  </si>
  <si>
    <t>0.03</t>
  </si>
  <si>
    <t>0.65</t>
  </si>
  <si>
    <t>6.58</t>
  </si>
  <si>
    <t>0.05</t>
  </si>
  <si>
    <t>7.4</t>
  </si>
  <si>
    <t>BANCO UNIÓN S.A. (en adelante el "Banco" o la "Sociedad")</t>
  </si>
  <si>
    <t>4.27</t>
  </si>
  <si>
    <t>13.13</t>
  </si>
  <si>
    <t>Bancoldex</t>
  </si>
  <si>
    <t>2.83</t>
  </si>
  <si>
    <t>Banco J.P. Morgan Colombia S.A., (la "Sociedad")</t>
  </si>
  <si>
    <t>IRIS CF.</t>
  </si>
  <si>
    <t>A 45 DIAS</t>
  </si>
  <si>
    <t>11.61</t>
  </si>
  <si>
    <t>10.5</t>
  </si>
  <si>
    <t>11.82</t>
  </si>
  <si>
    <t>8.7</t>
  </si>
  <si>
    <t>9.31</t>
  </si>
  <si>
    <t>5.27</t>
  </si>
  <si>
    <t>5.06</t>
  </si>
  <si>
    <t>10.74</t>
  </si>
  <si>
    <t>10.42</t>
  </si>
  <si>
    <t>11.8</t>
  </si>
  <si>
    <t>6.79</t>
  </si>
  <si>
    <t>7.6</t>
  </si>
  <si>
    <t>Banco BTG Pactual Colombia S.A.</t>
  </si>
  <si>
    <t>8.3</t>
  </si>
  <si>
    <t>1.5</t>
  </si>
  <si>
    <t>6.23</t>
  </si>
  <si>
    <t>BANCO CONTACTAR S.A.</t>
  </si>
  <si>
    <t>2.4</t>
  </si>
  <si>
    <t>9.52</t>
  </si>
  <si>
    <t>1.81</t>
  </si>
  <si>
    <t>12.63</t>
  </si>
  <si>
    <t>3.15</t>
  </si>
  <si>
    <t>8.66</t>
  </si>
  <si>
    <t>0.43</t>
  </si>
  <si>
    <t>OTRAS ENTIDADES FINANCIERAS</t>
  </si>
  <si>
    <t>1.94</t>
  </si>
  <si>
    <t>1.84</t>
  </si>
  <si>
    <t>5.66</t>
  </si>
  <si>
    <t>1.01</t>
  </si>
  <si>
    <t>8.9</t>
  </si>
  <si>
    <t>4.88</t>
  </si>
  <si>
    <t>0.46</t>
  </si>
  <si>
    <t>6.01</t>
  </si>
  <si>
    <t>10.25</t>
  </si>
  <si>
    <t>ENTRE 31 Y 90 DIAS</t>
  </si>
  <si>
    <t>4.11</t>
  </si>
  <si>
    <t>4.03</t>
  </si>
  <si>
    <t>1.6</t>
  </si>
  <si>
    <t>1.33</t>
  </si>
  <si>
    <t>5.98</t>
  </si>
  <si>
    <t>0.35</t>
  </si>
  <si>
    <t>0.24</t>
  </si>
  <si>
    <t>RCI Colombia S.A.</t>
  </si>
  <si>
    <t>7.1</t>
  </si>
  <si>
    <t>7.41</t>
  </si>
  <si>
    <t>7.16</t>
  </si>
  <si>
    <t>8.05</t>
  </si>
  <si>
    <t>0.29</t>
  </si>
  <si>
    <t>8.52</t>
  </si>
  <si>
    <t>6.69</t>
  </si>
  <si>
    <t>0.1</t>
  </si>
  <si>
    <t>10.77</t>
  </si>
  <si>
    <t>5.69</t>
  </si>
  <si>
    <t>2.46</t>
  </si>
  <si>
    <t>10.66</t>
  </si>
  <si>
    <t>0.38</t>
  </si>
  <si>
    <t>Financiera De Desarrollo Nacional S.A.</t>
  </si>
  <si>
    <t>9.01</t>
  </si>
  <si>
    <t>5.18</t>
  </si>
  <si>
    <t>4.32</t>
  </si>
  <si>
    <t>0.61</t>
  </si>
  <si>
    <t>10.27</t>
  </si>
  <si>
    <t>1.1</t>
  </si>
  <si>
    <t>9.8</t>
  </si>
  <si>
    <t>5.59</t>
  </si>
  <si>
    <t>9.7</t>
  </si>
  <si>
    <t>12.83</t>
  </si>
  <si>
    <t>9.44</t>
  </si>
  <si>
    <t>6.51</t>
  </si>
  <si>
    <t>8.67</t>
  </si>
  <si>
    <t>4.53</t>
  </si>
  <si>
    <t>9.24</t>
  </si>
  <si>
    <t>ENTRE 2 Y 14 DIAS</t>
  </si>
  <si>
    <t>13.77</t>
  </si>
  <si>
    <t>1.8</t>
  </si>
  <si>
    <t>11.2</t>
  </si>
  <si>
    <t>4.63</t>
  </si>
  <si>
    <t>7.96</t>
  </si>
  <si>
    <t>4.65</t>
  </si>
  <si>
    <t>7.34</t>
  </si>
  <si>
    <t>10.73</t>
  </si>
  <si>
    <t>5.8</t>
  </si>
  <si>
    <t>9.19</t>
  </si>
  <si>
    <t>1.57</t>
  </si>
  <si>
    <t>6.31</t>
  </si>
  <si>
    <t>9.26</t>
  </si>
  <si>
    <t>2.62</t>
  </si>
  <si>
    <t>6.09</t>
  </si>
  <si>
    <t>1.16</t>
  </si>
  <si>
    <t>10.85</t>
  </si>
  <si>
    <t>8.47</t>
  </si>
  <si>
    <t>6.94</t>
  </si>
  <si>
    <t>3.23</t>
  </si>
  <si>
    <t>3.82</t>
  </si>
  <si>
    <t>4.45</t>
  </si>
  <si>
    <t>11.94</t>
  </si>
  <si>
    <t>11.59</t>
  </si>
  <si>
    <t>7.35</t>
  </si>
  <si>
    <t>0.87</t>
  </si>
  <si>
    <t>8.88</t>
  </si>
  <si>
    <t>0.09</t>
  </si>
  <si>
    <t>4.67</t>
  </si>
  <si>
    <t>5.99</t>
  </si>
  <si>
    <t>5.56</t>
  </si>
  <si>
    <t>11.6</t>
  </si>
  <si>
    <t>10.38</t>
  </si>
  <si>
    <t>4.35</t>
  </si>
  <si>
    <t>0.57</t>
  </si>
  <si>
    <t>0.06</t>
  </si>
  <si>
    <t>3.58</t>
  </si>
  <si>
    <t>"KOA CF"</t>
  </si>
  <si>
    <t>4.16</t>
  </si>
  <si>
    <t>4.92</t>
  </si>
  <si>
    <t>Tasa Efectiva Anual (TEA)</t>
  </si>
  <si>
    <t>Valor al final ($)</t>
  </si>
  <si>
    <t>Ganancia real ($)</t>
  </si>
  <si>
    <t>Valor al final</t>
  </si>
  <si>
    <t>📖 ¿CÓMO USAR ESTA APLICACIÓN?</t>
  </si>
  <si>
    <t>1️⃣  Ingresa tu capital, años e inflación en la hoja SIMULADOR</t>
  </si>
  <si>
    <t>Las celdas editables están en azul sobre fondo amarillo</t>
  </si>
  <si>
    <t>2️⃣  Compara 5 opciones de inversión automáticamente</t>
  </si>
  <si>
    <t>Cuenta Ahorro, CDT 90d, CDT 360d, FPV Conservador y Moderado</t>
  </si>
  <si>
    <t>3️⃣  Define tu meta de ahorro en la hoja MI META</t>
  </si>
  <si>
    <t>Calcula cuánto tiempo necesitas para alcanzar cualquier monto</t>
  </si>
  <si>
    <t>4️⃣  Consulta tasas reales en TASAS EN VIVO</t>
  </si>
  <si>
    <t>🗂️ NAVEGACIÓN</t>
  </si>
  <si>
    <t>📊 SIMULADOR</t>
  </si>
  <si>
    <t>Compara 5 alternativas de inversión con interés compuesto.
Ingresa tu capital y ve resultados al instante.</t>
  </si>
  <si>
    <t>🎯 MI META</t>
  </si>
  <si>
    <t>¿Cuánto tiempo necesitas para alcanzar tu meta de ahorro?
Usa logaritmos para calcular el tiempo exacto.</t>
  </si>
  <si>
    <t>🌐 TASAS EN VIVO</t>
  </si>
  <si>
    <t>🧮 CONCEPTOS MATEMÁTICOS APLICADOS</t>
  </si>
  <si>
    <t>CONJUNTOS NUMÉRICOS</t>
  </si>
  <si>
    <t>ℕ (periodos), ℤ (diferencias), ℚ (tasas = fracciones), ℝ\ℚ (número e ≈ 2.718), ℝ (todos los valores financieros)</t>
  </si>
  <si>
    <t>POLINOMIOS ARITMÉTICOS</t>
  </si>
  <si>
    <t>Jerarquía de operaciones: paréntesis → potencias → multiplicación → suma. Aplicado en cada fórmula del simulador.</t>
  </si>
  <si>
    <t>PROPORCIONALIDAD Y PORCENTAJES</t>
  </si>
  <si>
    <t>Tasas de interés (%), inflación (%), retención en la fuente (4%). Regla de tres para convertir tasas entre periodicidades.</t>
  </si>
  <si>
    <t>EXPRESIONES ALGEBRAICAS</t>
  </si>
  <si>
    <t>VF = VP × (1 + i)^t — Función exponencial de interés compuesto. Ecuaciones para despejar variables.</t>
  </si>
  <si>
    <t>LOGARITMOS</t>
  </si>
  <si>
    <t>t = ln(VF/VP) / ln(1+i) — Despeje del tiempo usando logaritmo natural. Aplicado en MI META y punto de equilibrio.</t>
  </si>
  <si>
    <t>FUNCIONES Y VARIABILIDAD</t>
  </si>
  <si>
    <t>Cada alternativa define f(t) = VP·(1+i)^t. Comparar funciones = analizar crecimiento y tomar decisiones financieras.</t>
  </si>
  <si>
    <t>📐 FÓRMULAS CLAVE</t>
  </si>
  <si>
    <t>TEA = (1 + i_nom / n)^n − 1</t>
  </si>
  <si>
    <t>Valor Futuro (interés compuesto)</t>
  </si>
  <si>
    <t>VF = VP × (1 + TEA)^t</t>
  </si>
  <si>
    <t>Valor Futuro Real</t>
  </si>
  <si>
    <t>VF_real = VF_neto / (1 + π)^t</t>
  </si>
  <si>
    <t>Tiempo para meta (logaritmos)</t>
  </si>
  <si>
    <t>t = ln(VF_meta / VP) / ln(1 + TEA)</t>
  </si>
  <si>
    <t>Tiempo para duplicar</t>
  </si>
  <si>
    <t>t = ln(2) / ln(1 + TEA)</t>
  </si>
  <si>
    <t>Regla del 72 (aproximación)</t>
  </si>
  <si>
    <t>t ≈ 72 / (tasa × 100)</t>
  </si>
  <si>
    <t>📌 Fuentes: Superintendencia Financiera de Colombia (datos.gov.co) | Banco de la República | DANE (IPC dic 2025: 5.1%)</t>
  </si>
  <si>
    <t>Proyecto Matemática Fundamental — Universidad Compensar — Marzo 2026</t>
  </si>
  <si>
    <t>Herramienta interactiva de comparación de instrumentos financieros</t>
  </si>
  <si>
    <t>Proyecto Matemática Fundamental  •  Universidad Compensar  •  Equipo C  •  Marzo 2026</t>
  </si>
  <si>
    <t>📥 DATOS API FPV — Fondos de Pensiones Voluntarias (datos.gov.co)</t>
  </si>
  <si>
    <t>nombre_entidad</t>
  </si>
  <si>
    <t>nombre_patrimonio</t>
  </si>
  <si>
    <t>nombre_subtipo_patrimonio</t>
  </si>
  <si>
    <t>rentabilidad_360_dias</t>
  </si>
  <si>
    <t>fecha_corte</t>
  </si>
  <si>
    <t>Alianza Fiduciaria S.A.</t>
  </si>
  <si>
    <t>FDOS DE PENSIONES(JUBIL-INVAL)</t>
  </si>
  <si>
    <t>8.53</t>
  </si>
  <si>
    <t>11.35</t>
  </si>
  <si>
    <t>9.98</t>
  </si>
  <si>
    <t>2.73</t>
  </si>
  <si>
    <t>11.45</t>
  </si>
  <si>
    <t>10.7</t>
  </si>
  <si>
    <t>10.82</t>
  </si>
  <si>
    <t>10.79</t>
  </si>
  <si>
    <t>10.59</t>
  </si>
  <si>
    <t>12.95</t>
  </si>
  <si>
    <t>Accion Sociedad Fiduciaria S.A.  Sigla Acción Fiduciaria</t>
  </si>
  <si>
    <t>7.29</t>
  </si>
  <si>
    <t>Fiduciaria Davivienda S.A. Pudiendo Utilizar La Sigla "Fidudavivienda S.A."</t>
  </si>
  <si>
    <t>Credicorp Capital Fiduciaria S.A.</t>
  </si>
  <si>
    <t>12.13</t>
  </si>
  <si>
    <t>8.69</t>
  </si>
  <si>
    <t>Allianz Seguros De Vida S.A.</t>
  </si>
  <si>
    <t>9.1</t>
  </si>
  <si>
    <t>6.86</t>
  </si>
  <si>
    <t>6.88</t>
  </si>
  <si>
    <t>6.9</t>
  </si>
  <si>
    <t>5.64</t>
  </si>
  <si>
    <t>11.07</t>
  </si>
  <si>
    <t>3.03</t>
  </si>
  <si>
    <t>11.41</t>
  </si>
  <si>
    <t>10.39</t>
  </si>
  <si>
    <t>21.41</t>
  </si>
  <si>
    <t>13.87</t>
  </si>
  <si>
    <t>6.92</t>
  </si>
  <si>
    <t>6.85</t>
  </si>
  <si>
    <t>4.77</t>
  </si>
  <si>
    <t>13.93</t>
  </si>
  <si>
    <t>7.79</t>
  </si>
  <si>
    <t>9.58</t>
  </si>
  <si>
    <t>9.45</t>
  </si>
  <si>
    <t>Skandia Afp - Accai S.A.</t>
  </si>
  <si>
    <t>0.02</t>
  </si>
  <si>
    <t>0.07</t>
  </si>
  <si>
    <t>0.12</t>
  </si>
  <si>
    <t>0.17</t>
  </si>
  <si>
    <t>0.04</t>
  </si>
  <si>
    <t>0.08</t>
  </si>
  <si>
    <t>0.34</t>
  </si>
  <si>
    <t>"Colfondos S.A." Y "Colfondos"</t>
  </si>
  <si>
    <t>5.6</t>
  </si>
  <si>
    <t>9.78</t>
  </si>
  <si>
    <t>-12.64</t>
  </si>
  <si>
    <t>14.28</t>
  </si>
  <si>
    <t>7.3</t>
  </si>
  <si>
    <t>8.34</t>
  </si>
  <si>
    <t>11.06</t>
  </si>
  <si>
    <t>12.37</t>
  </si>
  <si>
    <t>9.63</t>
  </si>
  <si>
    <t>8.43</t>
  </si>
  <si>
    <t>13.48</t>
  </si>
  <si>
    <t>13.92</t>
  </si>
  <si>
    <t>9.59</t>
  </si>
  <si>
    <t>10.71</t>
  </si>
  <si>
    <t>5.54</t>
  </si>
  <si>
    <t>7.15</t>
  </si>
  <si>
    <t>37.82</t>
  </si>
  <si>
    <t>11.27</t>
  </si>
  <si>
    <t>12.03</t>
  </si>
  <si>
    <t>10.83</t>
  </si>
  <si>
    <t>10.8</t>
  </si>
  <si>
    <t>6.15</t>
  </si>
  <si>
    <t>6.17</t>
  </si>
  <si>
    <t>11.21</t>
  </si>
  <si>
    <t>12.12</t>
  </si>
  <si>
    <t>9.53</t>
  </si>
  <si>
    <t>7.36</t>
  </si>
  <si>
    <t>9.16</t>
  </si>
  <si>
    <t>6.41</t>
  </si>
  <si>
    <t>10.9</t>
  </si>
  <si>
    <t>10.26</t>
  </si>
  <si>
    <t>FONDO DE PENSIONES DE JUBILACION E INVALIDEZ VISIÓN</t>
  </si>
  <si>
    <t>FONDO DE PENSIONES VOLUNTARIAS MULTIACCION</t>
  </si>
  <si>
    <t>DIVERSIFICADO MODERADO</t>
  </si>
  <si>
    <t>ACCIONES COLOMBIA</t>
  </si>
  <si>
    <t>FONDO VOLUNTARIO PENSIONES JUBILACION INVALIDEZ CORREVAL</t>
  </si>
  <si>
    <t>RENTA FIJA MEDIANO PLAZO</t>
  </si>
  <si>
    <t>PORTAFOLIO ACCIONES COLOMBIA</t>
  </si>
  <si>
    <t>PORTAFOLIO LIQUIDEZ</t>
  </si>
  <si>
    <t>CLASS INTERNACIONAL RENTA FIJA</t>
  </si>
  <si>
    <t>CLASS INTERNACIONAL RENTA VARIABLE</t>
  </si>
  <si>
    <t>CLASS CERRADO PREMIUM HOTELERIA</t>
  </si>
  <si>
    <t>CLASS CERRADO PREMIUM HOTELERIA II</t>
  </si>
  <si>
    <t>PORTAFOLIO ESPECIAL SKANDIA C.A.T. 26 DE ABRIL DE 2027</t>
  </si>
  <si>
    <t>2026-03-18T00:00:00.000</t>
  </si>
  <si>
    <t>PORTAFOLIO ESPECIAL SKANDIA CAT 12 MESES - H</t>
  </si>
  <si>
    <t>PORTAFOLIO ESPECIAL SKANDIA CAT 12 MESES - I</t>
  </si>
  <si>
    <t>PORTAFOLIO ESPECIAL SKANDIA CAT 12 MESES - J</t>
  </si>
  <si>
    <t>PORTAFOLIO ESPECIAL SKANDIA C.A.T. 27 DE ABRIL DE 2027</t>
  </si>
  <si>
    <t>PORTAFOLIO ESPECIAL SKANDIA CAT 12 MESES - K</t>
  </si>
  <si>
    <t>PORTAFOLIO ESPECIAL SKANDIA CAT 12 MESES - L</t>
  </si>
  <si>
    <t>PORTAFOLIO ESPECIAL SKANDIA IV 2024</t>
  </si>
  <si>
    <t>PORTAFOLIO ESPECIAL SKANDIA C.A.T. 28 DE ABRIL DE 2027</t>
  </si>
  <si>
    <t>PORTAFOLIO ESPECIAL SKANDIA C.A.T. 29 DE ABRIL DE 2027</t>
  </si>
  <si>
    <t>PORTAFOLIO ESPECIAL SKANDIA C.A.T. 16 DE MARZO DE 2029</t>
  </si>
  <si>
    <t>PORTAFOLIO ESPECIAL SKANDIA C.A.T. 30 DE ABRIL DE 2027</t>
  </si>
  <si>
    <t>PORTAFOLIO ESPECIAL SKANDIA C.A.T. 20 DE MARZO DE 2029</t>
  </si>
  <si>
    <t>PORTAFOLIO SKANDIA BITCOIN</t>
  </si>
  <si>
    <t>-0.22</t>
  </si>
  <si>
    <t>PORTAFOLIO ESPECIAL SKANDIA C.A.T. 21 DE MARZO DE 2029</t>
  </si>
  <si>
    <t>PORTAFOLIO ESPECIAL SKANDIA JE 2025</t>
  </si>
  <si>
    <t>PORTAFOLIO ESPECIAL SKANDIA C.A.T. 22 DE MARZO DE 2029</t>
  </si>
  <si>
    <t>PORTAFOLIO ESPECIAL SKANDIA DIVERSIFICADO GLOBAL</t>
  </si>
  <si>
    <t>-0.03</t>
  </si>
  <si>
    <t>PORTAFOLIO ESPECIAL SKANDIA RENTA FIJA 2033</t>
  </si>
  <si>
    <t>PORTAFOLIO ESPECIAL SKANDIA C.A.T. 21 DE ABRIL DE 2033</t>
  </si>
  <si>
    <t>PORTAFOLIO ESPECIAL SKANDIA C.A.T. 22 DE ABRIL DE 2033</t>
  </si>
  <si>
    <t>PORTAFOLIO ESPECIAL SKANDIA C.A.T. 26 DE ABRIL DE 2030</t>
  </si>
  <si>
    <t>PORTAFOLIO ESPECIAL SKANDIA C.A.T. 4 DE FEBRERO DE 2030</t>
  </si>
  <si>
    <t>PORTAFOLIO ESPECIAL SKANDIA C.A.T. 13 DE MAYO DE 2030</t>
  </si>
  <si>
    <t>PORTAFOLIO ESPECIAL SKANDIA C.A.T. 5 DE FEBRERO DE 2030</t>
  </si>
  <si>
    <t>PORTAFOLIO ESPECIAL SKANDIA C.A.T. 25 DE ABRIL DE 2033</t>
  </si>
  <si>
    <t>PORTAFOLIO ESPECIAL SKANDIA C.A.T. 14 DE MAYO DE 2030</t>
  </si>
  <si>
    <t>PORTAFOLIO ESPECIAL SKANDIA C.A.T. 23 DE MARZO DE 2029</t>
  </si>
  <si>
    <t>PORTAFOLIO ESPECIAL SKANDIA JP 2025</t>
  </si>
  <si>
    <t>PORTAFOLIO ESPECIAL SKANDIA C.A.T. 15 DE MAYO DE 2030</t>
  </si>
  <si>
    <t>PORTAFOLIO ESPECIAL SKANDIA C.A.T. 22 DE AGOSTO DE 2029</t>
  </si>
  <si>
    <t>PORTAFOLIO ESPECIAL SKANDIA C.A.T. 29 DE ABRIL DE 2030</t>
  </si>
  <si>
    <t>PORTAFOLIO ESPECIAL SKANDIA C.A.T. 30 DE ABRIL DE 2030</t>
  </si>
  <si>
    <t>PORTAFOLIO ESPECIAL SKANDIA C.A.T. 26 DE ABRIL DE 2033</t>
  </si>
  <si>
    <t>PORTAFOLIO ESPECIAL SKANDIA C.A.T. RENTA FIJA 2027</t>
  </si>
  <si>
    <t>PORTAFOLIO ESPECIAL SKANDIA C.A.T. RENTA FIJA 2030 - I</t>
  </si>
  <si>
    <t>PORTAFOLIO ESPECIAL SKANDIA C.A.T. RENTA FIJA 2027-II</t>
  </si>
  <si>
    <t>PORTAFOLIO INGRESO SKANDIA CAT 4 DE NOVIEMBRE DE 2027</t>
  </si>
  <si>
    <t>PORTAFOLIO INGRESO SKANDIACAT NUTRESA 2030-2035-I</t>
  </si>
  <si>
    <t>FONDO DE PENSIONES VOLUNTARIAS CLASS INVERSIÃ³N DE COLFONDOS</t>
  </si>
  <si>
    <t>CLASS TRADICIONAL</t>
  </si>
  <si>
    <t>2.17</t>
  </si>
  <si>
    <t>CLASS DINÁMICO</t>
  </si>
  <si>
    <t>CLASS ACCIÓN COLOMBIA</t>
  </si>
  <si>
    <t>CLASS RENTA FIJA INFLACIÓN LARGO PLAZO</t>
  </si>
  <si>
    <t>-0.52</t>
  </si>
  <si>
    <t>CLASS ALTA LIQUIDEZ</t>
  </si>
  <si>
    <t>6.81</t>
  </si>
  <si>
    <t>CLASS PORTAFOLIO ACCIONES ECOPETROL</t>
  </si>
  <si>
    <t>35.91</t>
  </si>
  <si>
    <t>-6.13</t>
  </si>
  <si>
    <t>CLASS RENTA FIJA LARGO PLAZO</t>
  </si>
  <si>
    <t>CLASS RENTA FIJA MEDIANO PLAZO</t>
  </si>
  <si>
    <t>2.47</t>
  </si>
  <si>
    <t>CLASS AVANZA PRUDENTE</t>
  </si>
  <si>
    <t>1.93</t>
  </si>
  <si>
    <t>CLASS ALTA LIQUIDEZ DOLARES</t>
  </si>
  <si>
    <t>-7.88</t>
  </si>
  <si>
    <t>CLASS AVANZA MODERADO</t>
  </si>
  <si>
    <t>5.9</t>
  </si>
  <si>
    <t>CLASS CERRADO INMOBILIARIO</t>
  </si>
  <si>
    <t>-7</t>
  </si>
  <si>
    <t>CLASS AVANZA MAYOR RIESGO</t>
  </si>
  <si>
    <t>CLASS CERRADO ACCIONES EMERGENTES</t>
  </si>
  <si>
    <t>21.9</t>
  </si>
  <si>
    <t>CLASS CERRADO ACCIONES USA</t>
  </si>
  <si>
    <t>CLASS LIQUIDEZ</t>
  </si>
  <si>
    <t>CLASS CERRADO FONDO CAP PRIVADO SEAF</t>
  </si>
  <si>
    <t>-10.99</t>
  </si>
  <si>
    <t>CLASS AVANZA CONSERVADOR</t>
  </si>
  <si>
    <t>CLASS AVANZA DECIDIDO</t>
  </si>
  <si>
    <t>CLASS CERRADO RENTA FIJA AGOSTO 2027</t>
  </si>
  <si>
    <t>CLASS CERRADO RENTA FIJA OCTUBRE 2027</t>
  </si>
  <si>
    <t>3.96</t>
  </si>
  <si>
    <t>CLASS CERRADO RENTA FIJA DICIEMBRE 2027</t>
  </si>
  <si>
    <t>CLASS CERRADO INFACLIÓN MARZO 2027</t>
  </si>
  <si>
    <t>7.28</t>
  </si>
  <si>
    <t>CLASS CERRADO RENTA FIJA JULIO 2026</t>
  </si>
  <si>
    <t>CLASS CERRADO INFACLIÓN MARZO 2027 II</t>
  </si>
  <si>
    <t>CLASS CERRADO RENTA FIJA NOVIEMBRE 2026</t>
  </si>
  <si>
    <t>CLASS CERRADO ALTERNATIVA ESPECIAL NO1</t>
  </si>
  <si>
    <t>CLASS CERRADO RENTA FIJA ENERO 2027</t>
  </si>
  <si>
    <t>CLASS CERRADO RENTA FIJA PRIMER SEMESTRE 2029</t>
  </si>
  <si>
    <t>CLASS CERRADO ROTATIVO RENUEVA 365 TRAMO 1</t>
  </si>
  <si>
    <t>9.38</t>
  </si>
  <si>
    <t>CLASS CERRADO RENTA FIJA BONO ECOPETROL 2033</t>
  </si>
  <si>
    <t>7.86</t>
  </si>
  <si>
    <t>CLASS CERRADO ROTATIVO RENUEVA 180 T1</t>
  </si>
  <si>
    <t>8.02</t>
  </si>
  <si>
    <t>CLASS CERRADO ROTATIVO RENUEVA 90 T1</t>
  </si>
  <si>
    <t>7.43</t>
  </si>
  <si>
    <t>CLASS CERRADO ROTATIVO RENUEVA 365 T2</t>
  </si>
  <si>
    <t>8.5</t>
  </si>
  <si>
    <t>CLASS CERRADO RENTA FIJA PRIMER SEMESTRE 2029 II</t>
  </si>
  <si>
    <t>CLASS CERRADO RENTA FIJA BONO ECOPETROL 2033 II</t>
  </si>
  <si>
    <t>CLASS CERRADO ROTATIVO RENUEVA 180 TRAMO 2</t>
  </si>
  <si>
    <t>CLASS CERRADO ROTATIVO RENUEVA 90 T2</t>
  </si>
  <si>
    <t>7.74</t>
  </si>
  <si>
    <t>CLASS CERRADO ROTATIVO RENUEVA 365 T3</t>
  </si>
  <si>
    <t>8.62</t>
  </si>
  <si>
    <t>CLASS CERRADO ROTATIVO RENUEVA 180 T3</t>
  </si>
  <si>
    <t>CLASS CERRADO ALTERNATIVA ESPECIAL NO 4</t>
  </si>
  <si>
    <t>5.36</t>
  </si>
  <si>
    <t>CLASS CERRADO RENTA FIJA BONO ECOPETROL 2033 III</t>
  </si>
  <si>
    <t>3.08</t>
  </si>
  <si>
    <t>CLASS CERRADO RENTA FIJA PRIMER SEMESTRE 2029 III</t>
  </si>
  <si>
    <t>2.56</t>
  </si>
  <si>
    <t>CLASS CERRADO ROTATIVO RENUEVA 90 T3</t>
  </si>
  <si>
    <t>6.95</t>
  </si>
  <si>
    <t>CLASS CERRADO ROTATIVO RENUEVA 180 T4</t>
  </si>
  <si>
    <t>CLASS CERRADO RENTA FIJA BONO ECOPETROL 2033 IV</t>
  </si>
  <si>
    <t>-0.31</t>
  </si>
  <si>
    <t>CLASS CERRADO ROTATIVO RENUEVA 180 T5</t>
  </si>
  <si>
    <t>7.98</t>
  </si>
  <si>
    <t>CLASS CERRADO RENTA FIJA BONO NUTRESA 2030</t>
  </si>
  <si>
    <t>-2.88</t>
  </si>
  <si>
    <t>CLASS CERRADO ROTATIVO RENUEVA 365 T5</t>
  </si>
  <si>
    <t>7.47</t>
  </si>
  <si>
    <t>CLASS CERRADO ROTATIVO RENUEVA 365 T6</t>
  </si>
  <si>
    <t>CLASS CERRADO ROTATIVO RENUEVA 180 T6</t>
  </si>
  <si>
    <t>CLASS CERRADO RENTA FIJA PRIMER SEMESTRE 2030</t>
  </si>
  <si>
    <t>-3.05</t>
  </si>
  <si>
    <t>CLASS CERRADO INFLACIÓN MARZO 2027 III</t>
  </si>
  <si>
    <t>CLASS CERRADO RENTA FIJA BONO ECOPETROL 2033 V</t>
  </si>
  <si>
    <t>CLASS CERRADO ROTATIVO RENUEVA 365 T7</t>
  </si>
  <si>
    <t>CLASS CERRADO ALTERNATIVA ESPECIAL NO 5</t>
  </si>
  <si>
    <t>-7.72</t>
  </si>
  <si>
    <t>CLASS CERRADO ROTATIVO RENUEVA 365 T8</t>
  </si>
  <si>
    <t>CLASS CERRADO RENTA FIJA BONO ECOPETROL 2033 VI</t>
  </si>
  <si>
    <t>-19.06</t>
  </si>
  <si>
    <t>CLASS CERRADO RENTA FIJA BONO NUTRESA 2030 II</t>
  </si>
  <si>
    <t>-6.07</t>
  </si>
  <si>
    <t>CLASS GOLD TRUST</t>
  </si>
  <si>
    <t>25.83</t>
  </si>
  <si>
    <t>CLASS CERRADO ROTATIVO RENUEVA 365 T9</t>
  </si>
  <si>
    <t>3.75</t>
  </si>
  <si>
    <t>CLASS CERRADO ALTERNATIVA ESPECIAL NO 6</t>
  </si>
  <si>
    <t>-10.03</t>
  </si>
  <si>
    <t>CLASS CERRADO RENTA FIJA BONO NUTRESA 2030 III</t>
  </si>
  <si>
    <t>-6.11</t>
  </si>
  <si>
    <t>CLASS CERRADO ALTERNATIVA ESPECIAL NO 7</t>
  </si>
  <si>
    <t>CLASS CERRADO ROTATIVO RENUEVA 365 T10</t>
  </si>
  <si>
    <t>3.35</t>
  </si>
  <si>
    <t>CLASS CERRADO RENTA FIJA DICIEMBRE 2027 II</t>
  </si>
  <si>
    <t>-6.83</t>
  </si>
  <si>
    <t>CLASS CERRADO RENTA FIJA BONO NUTRESA 2030 IV</t>
  </si>
  <si>
    <t>0.63</t>
  </si>
  <si>
    <t>CLASS CERRADO ALTERNATIVA ESPECIAL NO 8 NUTRESA MAXIPETS</t>
  </si>
  <si>
    <t>-8.06</t>
  </si>
  <si>
    <t>CLASS CERRADO ROTATIVO RENUEVA 365 T11</t>
  </si>
  <si>
    <t>CLASS CERRADO RENTA FIJA FEBRERO 2028</t>
  </si>
  <si>
    <t>-4.27</t>
  </si>
  <si>
    <t>CLASS CERRADO RENTA FIJA BONO NUTRESA 2030 V</t>
  </si>
  <si>
    <t>-30.8</t>
  </si>
  <si>
    <t>CLASS CERRADO ALTERNATIVA ESPECIAL NO 9</t>
  </si>
  <si>
    <t>-3.23</t>
  </si>
  <si>
    <t>CLASS CERRADO ALTERNATIVA ESPECIAL NO 10</t>
  </si>
  <si>
    <t>-2.2</t>
  </si>
  <si>
    <t>RESERVA PATRIMONIAL 2030</t>
  </si>
  <si>
    <t>10.06</t>
  </si>
  <si>
    <t>GLOBAL INNOVATION</t>
  </si>
  <si>
    <t>-15.42</t>
  </si>
  <si>
    <t>CLASS CERRADO ROTATIVO RENUEVA 365 T12</t>
  </si>
  <si>
    <t>13.2</t>
  </si>
  <si>
    <t>RENTA FIJA INTERNACIONAL CON COBERTURA</t>
  </si>
  <si>
    <t>CLASS CERRADO ALTERNATIVA ESPECIAL NO 12</t>
  </si>
  <si>
    <t>-2.29</t>
  </si>
  <si>
    <t>CLASS CERRADO ALTERNATIVA ESPECIAL NO 13</t>
  </si>
  <si>
    <t>LIQUIDEZ</t>
  </si>
  <si>
    <t>7.78</t>
  </si>
  <si>
    <t>Btg Pactual Fiduciaria Tambien Podrá Denominarse Btg Pactual Sf.</t>
  </si>
  <si>
    <t>FVP BTG PACTUAL CERRADO ESPECIAL LBSF 2</t>
  </si>
  <si>
    <t>-16.1</t>
  </si>
  <si>
    <t>FVP BTG PACTUAL CERRADO ESPECIAL LBSF 3</t>
  </si>
  <si>
    <t>15.37</t>
  </si>
  <si>
    <t>FVP BTG PACTUAL INMOBILIARIA COLOMBIA</t>
  </si>
  <si>
    <t>-4.7</t>
  </si>
  <si>
    <t>FVP BTG PACTUAL CERRADO ESPECIAL 2</t>
  </si>
  <si>
    <t>FVP BTG PACTUAL RECAUDADOR</t>
  </si>
  <si>
    <t>FVP BTG PACTUAL DESARROLLO RESIDENCIAL</t>
  </si>
  <si>
    <t>-0.46</t>
  </si>
  <si>
    <t>FVP BTG PACTUAL VISUM RENTAS INMOBILIARIAS</t>
  </si>
  <si>
    <t>FVP BTG PACTUAL CERRADO ESPECIAL LBSF 4</t>
  </si>
  <si>
    <t>10.6</t>
  </si>
  <si>
    <t>FVP BTG PACTUAL CERRADO ESPECIAL LBSF 6</t>
  </si>
  <si>
    <t>11.03</t>
  </si>
  <si>
    <t>FVP BTG PACTUAL CERRADO ESPECIAL LBSF 7</t>
  </si>
  <si>
    <t>12.39</t>
  </si>
  <si>
    <t>FVP BTG PACTUAL ACCIONES BANCOLOMBIA</t>
  </si>
  <si>
    <t>60.64</t>
  </si>
  <si>
    <t>FVP BTG PACTUAL CERRADO ESPECIAL LBSF 9</t>
  </si>
  <si>
    <t>FVP BTG PACTUAL CERRADO ESPECIAL 4</t>
  </si>
  <si>
    <t>-4.66</t>
  </si>
  <si>
    <t>FVP BTG PACTUAL CERRADO ESPECIAL LBSF 11</t>
  </si>
  <si>
    <t>2956.29</t>
  </si>
  <si>
    <t>FVP BTG PACTUAL SMP I</t>
  </si>
  <si>
    <t>-4.34</t>
  </si>
  <si>
    <t>FVP BTG PACTUAL MULTIESTRATEGIAS</t>
  </si>
  <si>
    <t>4.48</t>
  </si>
  <si>
    <t>FVP BTG PACTUAL DINAMICO</t>
  </si>
  <si>
    <t>2.32</t>
  </si>
  <si>
    <t>FVP BTG PACTUAL LIQUIDEZ DOLARES</t>
  </si>
  <si>
    <t>-8.56</t>
  </si>
  <si>
    <t>FVP BTG PACTUAL RENTA FIJA EMERGENTE</t>
  </si>
  <si>
    <t>-4.98</t>
  </si>
  <si>
    <t>FVP BTG PACTUAL CERRADO ESPECIAL LBSF 10</t>
  </si>
  <si>
    <t>14.58</t>
  </si>
  <si>
    <t>FVP BTG PACTUAL ACTIVOS CREDITICIOS I CLASE A</t>
  </si>
  <si>
    <t>9.86</t>
  </si>
  <si>
    <t>FVP BTG PACTUAL ALTA DURACIÓN</t>
  </si>
  <si>
    <t>FVP BTG PACTUAL CERRADO ESPECIAL LBSF 12</t>
  </si>
  <si>
    <t>-9.14</t>
  </si>
  <si>
    <t>FVP BTG PACTUAL CERRADO ESPECIAL 6</t>
  </si>
  <si>
    <t>-3.66</t>
  </si>
  <si>
    <t>FVP BTG PACTUAL CERRADO ESPECIAL 8</t>
  </si>
  <si>
    <t>4.69</t>
  </si>
  <si>
    <t>FVP BTG PACTUAL CERRADO ESPECIAL 7</t>
  </si>
  <si>
    <t>6.83</t>
  </si>
  <si>
    <t>FVP BTG PACTUAL CERRADO ESPECIAL 9</t>
  </si>
  <si>
    <t>FVP BTG PACTUAL CERRADO ESPECIAL LBSF 13</t>
  </si>
  <si>
    <t>FVP BTG PACTUAL CERRADO ESPECIAL 11</t>
  </si>
  <si>
    <t>FVP BTG PACTUAL CERRADO ESPECIAL 10</t>
  </si>
  <si>
    <t>FVP BTG PACTUAL CERRADO ESPECIAL 12</t>
  </si>
  <si>
    <t>FVP BTG PACTUAL CERRADO ESPECIAL 13</t>
  </si>
  <si>
    <t>FVP BTG PACTUAL TASA AL VENCIMIENTO VI</t>
  </si>
  <si>
    <t>FVP BTG PACTUAL CERRADO ESPECIAL 15</t>
  </si>
  <si>
    <t>Fiduciaria Coomeva S.A.</t>
  </si>
  <si>
    <t>FONDO DE PENSIONES VOLUNTARIAS PLATINO</t>
  </si>
  <si>
    <t>FVP PLATINO RENTA FIJA CORTO PLAZO O DE LIQUIDEZ</t>
  </si>
  <si>
    <t>6.25</t>
  </si>
  <si>
    <t>FVP PLATINO INVERSIONES NO TRADICIONALES O ALTERNATIVAS</t>
  </si>
  <si>
    <t>11.23</t>
  </si>
  <si>
    <t>Renta4g Fiduciaria</t>
  </si>
  <si>
    <t>FONDO VOLUNTARIO DE PENSIONES DE JUBILACION E INVALIDEZ RENTA4GLOBAL FIDUCIARIA</t>
  </si>
  <si>
    <t>7.94</t>
  </si>
  <si>
    <t>FVP DE JUBILACION E INVALIDEZ RENTA4GLOBAL FIDUCIARIA - PERFILADO CONSERVADOR</t>
  </si>
  <si>
    <t>FVP DE JUBILACION E INVALIDEZ RENTA4GLOBAL FIDUCIARIA - PERFIL MODERADO</t>
  </si>
  <si>
    <t>FVP DE JUBILACION E INVALIDEZ RENTA4GLOBAL FIDUCIARIA - SELECTIVO ACCIONES COLOMBIA</t>
  </si>
  <si>
    <t>36.44</t>
  </si>
  <si>
    <t>FVP DE JUBILACION E INVALIDEZ RENTA4GLOBAL FIDUCIARIA - SELECTIVO ALTO RENDIMIENTO</t>
  </si>
  <si>
    <t>8.14</t>
  </si>
  <si>
    <t>FVP DE JUBILACION E INVALIDEZ RENTA4GLOBAL FIDUCIARIA - SELECTIVO MEGATENDENCIAS SALUD</t>
  </si>
  <si>
    <t>-16.58</t>
  </si>
  <si>
    <t>FVP DE JUBILACION E INVALIDEZ RENTA4GLOBAL FIDUCIARIA - SELECTIVO MEGATENDENCIAS TECNOLOGIA</t>
  </si>
  <si>
    <t>25.11</t>
  </si>
  <si>
    <t>FVP DE JUBILACION E INVALIDEZ RENTA4GLOBAL FIDUCIARIA - SELECTIVO MEGATENDENCIAS HIDROGENO</t>
  </si>
  <si>
    <t>40.33</t>
  </si>
  <si>
    <t>FVP DE JUBILACION E INVALIDEZ RENTA4GLOBAL FIDUCIARIA - SELECTIVO MEGATENDENCIAS CONSUMO</t>
  </si>
  <si>
    <t>-70.52</t>
  </si>
  <si>
    <t>FVP DE JUBILACION E INVALIDEZ RENTA4GLOBAL FIDUCIARIA - SELECTIVO MEGATENDENCIAS MEDIO AMBIENTE</t>
  </si>
  <si>
    <t>-64.2</t>
  </si>
  <si>
    <t>FVP DE JUBILACION E INVALIDEZ RENTA4GLOBAL FIDUCIARIA - SELECTIVO TRUE VALUE</t>
  </si>
  <si>
    <t>-14.53</t>
  </si>
  <si>
    <t>FVP DE JUBILACION E INVALIDEZ RENTA4GLOBAL FIDUCIARIA - SELECTIVO TRUE VALUE COMPOUNDERS</t>
  </si>
  <si>
    <t>-48.49</t>
  </si>
  <si>
    <t>FVP ALLIANZ</t>
  </si>
  <si>
    <t>4.59</t>
  </si>
  <si>
    <t>VISTA CONSERVADOR</t>
  </si>
  <si>
    <t>PLAN DE AHORRO EDUCATIVO</t>
  </si>
  <si>
    <t>BASF QUÍMICA</t>
  </si>
  <si>
    <t>DIVERSIFICADO</t>
  </si>
  <si>
    <t>-0.48</t>
  </si>
  <si>
    <t>FUTURALL</t>
  </si>
  <si>
    <t>8.32</t>
  </si>
  <si>
    <t>MÁS COLOMBIA</t>
  </si>
  <si>
    <t>-29.24</t>
  </si>
  <si>
    <t>INVERSIONES INMOBILIARIAS</t>
  </si>
  <si>
    <t>2.55</t>
  </si>
  <si>
    <t>INVES PLUS UVR</t>
  </si>
  <si>
    <t>5.46</t>
  </si>
  <si>
    <t>LIQUIDEZ TRANSITORIO</t>
  </si>
  <si>
    <t>DEUDA CORPORATIVA PESOS</t>
  </si>
  <si>
    <t>INVESTPLUS RENTA</t>
  </si>
  <si>
    <t>INVEST PLUS CAPITAL PROTEGIDO</t>
  </si>
  <si>
    <t>3.25</t>
  </si>
  <si>
    <t>INVEST PLUS CORTO PLAZO 360</t>
  </si>
  <si>
    <t>CERRADO 1 AÑO</t>
  </si>
  <si>
    <t>FONDO GLOBAL MASTER</t>
  </si>
  <si>
    <t>5.34</t>
  </si>
  <si>
    <t>CERRADO 2 AÑOS</t>
  </si>
  <si>
    <t>EFICIENTE 001</t>
  </si>
  <si>
    <t>INVESTPLUS RENTAS 2</t>
  </si>
  <si>
    <t>EFICIENTE 002</t>
  </si>
  <si>
    <t>FONDO VOLUNTARIO DE PENSIÃ³N SKANDIA MULTIFUND</t>
  </si>
  <si>
    <t>6.38</t>
  </si>
  <si>
    <t>PORTAFOLIO SKANDIA STRATEGIST INVERSIÃ³N MUNDO SOSTENIBLE MAYOR RIESGO</t>
  </si>
  <si>
    <t>PORTAFOLIO SKANDIA STRATEGIST CONSERVADOR</t>
  </si>
  <si>
    <t>PORTAFOLIO SKANDIA STRATEGIST LIQUIDEZ COLOMBIA</t>
  </si>
  <si>
    <t>PORTAFOLIO SKANDIA STRATEGIST ACCIONES COLOMBIA</t>
  </si>
  <si>
    <t>PORTAFOLIO SKANDIA ACCIONES PETROLEO</t>
  </si>
  <si>
    <t>PORTAFOLIO SKANDIA RENTA FIJA GLOBAL</t>
  </si>
  <si>
    <t>-0.05</t>
  </si>
  <si>
    <t>PORTAFOLIO SKANDIA ACCIONES USA</t>
  </si>
  <si>
    <t>PORTAFOLIO SKANDIA ACCIONES EUROPA</t>
  </si>
  <si>
    <t>PORTAFOLIO ESPECIAL DE INVERSIÓN SKANDIA REIT</t>
  </si>
  <si>
    <t>-0.07</t>
  </si>
  <si>
    <t>PORTAFOLIO ESPECIAL DE INVERSIÓN SKANDIA PC2008</t>
  </si>
  <si>
    <t>PORTAFOLIO ESPECIAL DE INVERSIÓN SKANDIA INMOVAL</t>
  </si>
  <si>
    <t>PORTAFOLIO SKANDIA ACCIONES ECOPETROL</t>
  </si>
  <si>
    <t>0.36</t>
  </si>
  <si>
    <t>PORTAFOLIO ESPECIAL DE INVERSIÓN SKANDIA OPORTUNO</t>
  </si>
  <si>
    <t>PORTAFOLIO ESPECIAL DE INVERSION SKANDIA EQ 2011</t>
  </si>
  <si>
    <t>0.25</t>
  </si>
  <si>
    <t>PORTAFOLIO SKANDIA LIQUIDEZ USA</t>
  </si>
  <si>
    <t>PORTAFOLIO ESPECIAL DE INVERSIÓN SKANDIA INMOBILIARIO COMPRAR PARA ARRENDAR</t>
  </si>
  <si>
    <t>PORTAFOLIO SKANDIA BONOS COLOMBIA PLUS</t>
  </si>
  <si>
    <t>PORTAFOLIO SKANDIA STRATEGIST RECAUDADOR</t>
  </si>
  <si>
    <t>PORTAFOLIO ESPECIAL DE INVERSIÓN SKANDIA FR 2013</t>
  </si>
  <si>
    <t>PORTAFOLIO ESPECIAL DE INVERSIÓN SKANDIA EF 2013</t>
  </si>
  <si>
    <t>PORTAFOLIO SKANDIA ACCIONES BANCOLOMBIA</t>
  </si>
  <si>
    <t>0.58</t>
  </si>
  <si>
    <t>PORTAFOLIO ESPECIAL DE INVERSIÓN SKANDIA AP2020</t>
  </si>
  <si>
    <t>PORTAFOLIO SKANDIA ACCIONES NUEVAS TECNOLOGÍAS</t>
  </si>
  <si>
    <t>PORTAFOLIO ESPECIAL DE INVERSIÓN SKANDIA UNO MAS COLOMBIA</t>
  </si>
  <si>
    <t>-0.3</t>
  </si>
  <si>
    <t>PORTAFOLIO ESPECIAL DE INVERSIÓN SKANDIA EQ 2017</t>
  </si>
  <si>
    <t>PORTAFOLIO ESPECIAL DE INVERSIÓN SKANDIA IB 2018</t>
  </si>
  <si>
    <t>PORTAFOLIO ESPECIAL DE INVERSIÓN SKANDIA ACTIVOS ALTERNATIVOS</t>
  </si>
  <si>
    <t>PORTAFOLIO ESPECIAL DE INVERSIÓN SKANDIA WA 2019</t>
  </si>
  <si>
    <t>PORTAFOLIO ESPECIAL DE INVERSIÓN SKANDIA RENTABILIDAD OBJETIVO (PRO II)</t>
  </si>
  <si>
    <t>PORTAFOLIO ESPECIAL DE INVERSIÓN SKANDIA NH2019</t>
  </si>
  <si>
    <t>PORTAFOLIO ESPECIAL DE INVERSIÓN SKANDIA EC2020</t>
  </si>
  <si>
    <t>PORTAFOLIO ESPECIAL DE INVERSIÓN SKANDIA VISTA</t>
  </si>
  <si>
    <t>PORTAFOLIO ESPECIAL DE INVERSIÓN SKANDIA EX 2020</t>
  </si>
  <si>
    <t>PORTAFOLIO SKANDIA ACCIONES MERCADOS EMERGENTES</t>
  </si>
  <si>
    <t>PORTAFOLIO ESPECIAL SKANDIA C.A.T. 13 DE MAYO 2026</t>
  </si>
  <si>
    <t>PORTAFOLIO ESPECIAL SKANDIA GP 2022</t>
  </si>
  <si>
    <t>PORTAFOLIO ESPECIAL SKANDIA C.A.T. 14 DE MAYO 2026</t>
  </si>
  <si>
    <t>PORTAFOLIO SKANDIA STRATEGIST MODERADO</t>
  </si>
  <si>
    <t>PORTAFOLIO ESPECIAL SKANDIA C.A.T. 15 DE MAYO 2026 (4 AÑOS)</t>
  </si>
  <si>
    <t>PORTAFOLIO SKANDIA ACCIONES GLOBAL</t>
  </si>
  <si>
    <t>PORTAFOLIO ESPECIAL SKANDIA C.A.T. 18 DE MAYO DE 2026</t>
  </si>
  <si>
    <t>PORTAFOLIO RECAUDADOR SKANDIA CAT 6 MESES</t>
  </si>
  <si>
    <t>PORTAFOLIO RECAUDADOR SKANDIA CAT 12 MESES</t>
  </si>
  <si>
    <t>PORTAFOLIO ESPECIAL SKANDIA CAT 6 MESES - A</t>
  </si>
  <si>
    <t>PORTAFOLIO ESPECIAL SKANDIA CAT 12 MESES - A</t>
  </si>
  <si>
    <t>PORTAFOLIO ESPECIAL SKANDIA CAT 6 MESES - B</t>
  </si>
  <si>
    <t>PORTAFOLIO ESPECIAL SKANDIA RH 2023</t>
  </si>
  <si>
    <t>PORTAFOLIO ESPECIAL SKANDIA CAT 12 MESES - B</t>
  </si>
  <si>
    <t>PORTAFOLIO ESPECIAL SKANDIA RENTA FIJA 2029</t>
  </si>
  <si>
    <t>PORTAFOLIO ESPECIAL SKANDIA CAT 6 MESES - C</t>
  </si>
  <si>
    <t>PORTAFOLIO ESPECIAL SKANDIA CAT 12 MESES - C</t>
  </si>
  <si>
    <t>PORTAFOLIO ESPECIAL SKANDIA CAT 6 MESES - D</t>
  </si>
  <si>
    <t>PORTAFOLIO ESPECIAL SKANDIA CAT 12 MESES - D</t>
  </si>
  <si>
    <t>PORTAFOLIO ESPECIAL SKANDIA RENTA FIJA 2030</t>
  </si>
  <si>
    <t>PORTAFOLIO ESPECIAL SKANDIA CAT 6 MESES - E</t>
  </si>
  <si>
    <t>PORTAFOLIO ESPECIAL SKANDIA CAT 12 MESES - E</t>
  </si>
  <si>
    <t>PORTAFOLIO ESPECIAL SKANDIA CAT 6 MESES - F</t>
  </si>
  <si>
    <t>PORTAFOLIO ESPECIAL SKANDIA PROMOS 2023</t>
  </si>
  <si>
    <t>PORTAFOLIO ESPECIAL SKANDIA CAT 12 MESES - F</t>
  </si>
  <si>
    <t>PORTAFOLIO ESPECIAL SKANDIA CAT 12 MESES - G</t>
  </si>
  <si>
    <t>ORO</t>
  </si>
  <si>
    <t>37.46</t>
  </si>
  <si>
    <t>INMOBILIARIO IV</t>
  </si>
  <si>
    <t>-4.23</t>
  </si>
  <si>
    <t>INMOBILIARIO I</t>
  </si>
  <si>
    <t>-5.42</t>
  </si>
  <si>
    <t>PLAN COMPLEMENTARIO PENSION</t>
  </si>
  <si>
    <t>PATRIMONIO FONBAR</t>
  </si>
  <si>
    <t>LIQUIDEZ DOLAR</t>
  </si>
  <si>
    <t>-7.03</t>
  </si>
  <si>
    <t>PATRIMONIO JMA</t>
  </si>
  <si>
    <t>12.24</t>
  </si>
  <si>
    <t>ZURI PATRIMONIO</t>
  </si>
  <si>
    <t>4.64</t>
  </si>
  <si>
    <t>GAMONI PATRIMONIO</t>
  </si>
  <si>
    <t>7.56</t>
  </si>
  <si>
    <t>ROLJAN PATRIMONIO</t>
  </si>
  <si>
    <t>OPORTUNIDAD 90</t>
  </si>
  <si>
    <t>9.42</t>
  </si>
  <si>
    <t>SEMIJA PATRIMONIO</t>
  </si>
  <si>
    <t>AP 101 PATRIMONIO</t>
  </si>
  <si>
    <t>6.34</t>
  </si>
  <si>
    <t>AP 102 PATRIMONIO</t>
  </si>
  <si>
    <t>6.13</t>
  </si>
  <si>
    <t>OPORTUNIDAD 90 CICLO 2</t>
  </si>
  <si>
    <t>9.23</t>
  </si>
  <si>
    <t>AP 103 PATRIMONIO</t>
  </si>
  <si>
    <t>3.09</t>
  </si>
  <si>
    <t>OPORTUNIDAD 90 CICLO 3</t>
  </si>
  <si>
    <t>8.64</t>
  </si>
  <si>
    <t>AP 104 PATRIMONIO MA</t>
  </si>
  <si>
    <t>AP 105 PATRIMONIO</t>
  </si>
  <si>
    <t>6.53</t>
  </si>
  <si>
    <t>NOTA ORO CON CAPITAL PROTEGIDO</t>
  </si>
  <si>
    <t>8.96</t>
  </si>
  <si>
    <t>AP 106 PATRIMONIO</t>
  </si>
  <si>
    <t>AP 107 PATRIMONIO</t>
  </si>
  <si>
    <t>2.9</t>
  </si>
  <si>
    <t>AP 108 PATRIMONIO</t>
  </si>
  <si>
    <t>NOTA SECTORES ESENCIALES USA</t>
  </si>
  <si>
    <t>-1.81</t>
  </si>
  <si>
    <t>AP 109 PATRIMONIO</t>
  </si>
  <si>
    <t>FINCA RAÍZ INTERNACIONAL</t>
  </si>
  <si>
    <t>HORIZONTE PANAMA 28</t>
  </si>
  <si>
    <t>EVOLUCIÓN NOTA EUROPA 2027</t>
  </si>
  <si>
    <t>CAPITAL PRIVADO INTERNACIONAL</t>
  </si>
  <si>
    <t>IMPULSO IA CON CAPITAL PROTEGIDO</t>
  </si>
  <si>
    <t>AP 110</t>
  </si>
  <si>
    <t>CONSERVA 360</t>
  </si>
  <si>
    <t>AP 113</t>
  </si>
  <si>
    <t>11.63</t>
  </si>
  <si>
    <t>8.74</t>
  </si>
  <si>
    <t>PORTAFOLIO DEUDA CORPORATIVA</t>
  </si>
  <si>
    <t>P. AHORRO JMA</t>
  </si>
  <si>
    <t>PORTAFOLIO RENTA FIJA GLOBAL DOLAR</t>
  </si>
  <si>
    <t>-3.63</t>
  </si>
  <si>
    <t>PORTAFOLIO TENDENCIAS DE CONSUMO</t>
  </si>
  <si>
    <t>-2.28</t>
  </si>
  <si>
    <t>PORTAFOLIO ACCIONES GLOBALES</t>
  </si>
  <si>
    <t>-1.59</t>
  </si>
  <si>
    <t>PORTAFOLIO RENTA FIJA COLOMBIA</t>
  </si>
  <si>
    <t>5.52</t>
  </si>
  <si>
    <t>P AHORRO ESPECIAL NO 5</t>
  </si>
  <si>
    <t>8.97</t>
  </si>
  <si>
    <t>44.54</t>
  </si>
  <si>
    <t>PORTAFOLIO ACCIONES GRUPO BOLIVAR</t>
  </si>
  <si>
    <t>21.7</t>
  </si>
  <si>
    <t>PORTAFOLIO INMOVAL</t>
  </si>
  <si>
    <t>-19.95</t>
  </si>
  <si>
    <t>PORTAFOLIO RENTA FIJA GLOBAL</t>
  </si>
  <si>
    <t>10.43</t>
  </si>
  <si>
    <t>P. AHORRO ESPECIAL NO 1</t>
  </si>
  <si>
    <t>5.74</t>
  </si>
  <si>
    <t>P. AHORRO ESPECIAL NO 3</t>
  </si>
  <si>
    <t>PORTAFOLIO INMOVAL II</t>
  </si>
  <si>
    <t>-21.72</t>
  </si>
  <si>
    <t>P. AHORRO ESPECIAL NO 6</t>
  </si>
  <si>
    <t>P. AHORRO ESPECIAL NO 8</t>
  </si>
  <si>
    <t>31.99</t>
  </si>
  <si>
    <t>P. AHORRO ESPECIAL NO 9</t>
  </si>
  <si>
    <t>DÓLAR EFECTIVO</t>
  </si>
  <si>
    <t>-5.74</t>
  </si>
  <si>
    <t>P. AHORRO ESPECIAL NO 10</t>
  </si>
  <si>
    <t>12.8</t>
  </si>
  <si>
    <t>P. AHORRO ESPECIAL NO 11</t>
  </si>
  <si>
    <t>INNOVACIÓN LATAM</t>
  </si>
  <si>
    <t>25.24</t>
  </si>
  <si>
    <t>P. AHORRO ESPECIAL NO 12</t>
  </si>
  <si>
    <t>8.13</t>
  </si>
  <si>
    <t>P. AHORRO ESPECIAL NO 13</t>
  </si>
  <si>
    <t>P. AHORRO ESPECIAL NO 14</t>
  </si>
  <si>
    <t>P. AHORRO ESPECIAL NO 15</t>
  </si>
  <si>
    <t>P. AHORRO ESPECIAL NO 16</t>
  </si>
  <si>
    <t>37.12</t>
  </si>
  <si>
    <t>P. AHORRO ESPECIAL NO 17</t>
  </si>
  <si>
    <t>35.14</t>
  </si>
  <si>
    <t>P. AHORRO ESPECIAL NO 18</t>
  </si>
  <si>
    <t>40.41</t>
  </si>
  <si>
    <t>INMOVAL III</t>
  </si>
  <si>
    <t>-17.37</t>
  </si>
  <si>
    <t>P. AHORRO ESPECIAL NO. 19</t>
  </si>
  <si>
    <t>55.96</t>
  </si>
  <si>
    <t>INMOVAL IV</t>
  </si>
  <si>
    <t>-19.85</t>
  </si>
  <si>
    <t>P. AHORRO ESPECIAL NO. 20</t>
  </si>
  <si>
    <t>5.84</t>
  </si>
  <si>
    <t>P. AHORRO ESPECIAL NO. 21</t>
  </si>
  <si>
    <t>20.1</t>
  </si>
  <si>
    <t>P. AHORRO ESPECIAL NO. 23</t>
  </si>
  <si>
    <t>17.28</t>
  </si>
  <si>
    <t>ALTERNATIVO  DEUDA PRIVADA</t>
  </si>
  <si>
    <t>8.71</t>
  </si>
  <si>
    <t>P. AHORRO ESPECIAL NO 22</t>
  </si>
  <si>
    <t>41.92</t>
  </si>
  <si>
    <t>P. AHORRO ESPECIAL NO. 24</t>
  </si>
  <si>
    <t>4.1</t>
  </si>
  <si>
    <t>FACTORING</t>
  </si>
  <si>
    <t>10.61</t>
  </si>
  <si>
    <t>ALTERNATIVO  DEUDA PRIVADA DÓLAR</t>
  </si>
  <si>
    <t>-2.76</t>
  </si>
  <si>
    <t>BALANCEADO - COLABOLADORES</t>
  </si>
  <si>
    <t>DEUDA CORPORATIVA LATAM</t>
  </si>
  <si>
    <t>10.17</t>
  </si>
  <si>
    <t>P. AHORRO ESPECIAL NO. 28</t>
  </si>
  <si>
    <t>P. AHORRO ESPECIAL NO. 29</t>
  </si>
  <si>
    <t>2.99</t>
  </si>
  <si>
    <t>INMOVAL V</t>
  </si>
  <si>
    <t>-19.99</t>
  </si>
  <si>
    <t>ESTRATEGIAS INMOBILIARIAS</t>
  </si>
  <si>
    <t>-4.96</t>
  </si>
  <si>
    <t>P. AHORRO ESPECIAL NO 27</t>
  </si>
  <si>
    <t>3.89</t>
  </si>
  <si>
    <t>P. AHORRO ESPECIAL NO. 34</t>
  </si>
  <si>
    <t>11.93</t>
  </si>
  <si>
    <t>P. AHORRO ESPECIAL NO. 31</t>
  </si>
  <si>
    <t>P. AHORRO ESPECIAL NO. 35</t>
  </si>
  <si>
    <t>P. AHORRO ESPECIAL NO. 26</t>
  </si>
  <si>
    <t>16.64</t>
  </si>
  <si>
    <t>P. AHORRO ESPECIAL NO. 40</t>
  </si>
  <si>
    <t>P. AHORRO ESPECIAL NO. 37</t>
  </si>
  <si>
    <t>23.56</t>
  </si>
  <si>
    <t>P. AHORRO ESPECIAL NO. 39</t>
  </si>
  <si>
    <t>INMOVAL VI</t>
  </si>
  <si>
    <t>-20.01</t>
  </si>
  <si>
    <t>P. AHORRO ESPECIAL NO. 38</t>
  </si>
  <si>
    <t>42.25</t>
  </si>
  <si>
    <t>P. AHORRO ESPECIAL NO. 25</t>
  </si>
  <si>
    <t>7.88</t>
  </si>
  <si>
    <t>OBJETIVOS INSTITUCIONALES</t>
  </si>
  <si>
    <t>P. AHORRO ESPECIAL NO.33</t>
  </si>
  <si>
    <t>P. AHORRO ESPECIAL NO. 36</t>
  </si>
  <si>
    <t>P. AHORRO ESPECIAL NO. 42</t>
  </si>
  <si>
    <t>P. AHORRO ESPECIAL NO. 32</t>
  </si>
  <si>
    <t>P. AHORRO ESPECIAL NO. 30</t>
  </si>
  <si>
    <t>ESTRUCTURADO S&amp;P</t>
  </si>
  <si>
    <t>P. AHORRO ESPECIAL NO. 41</t>
  </si>
  <si>
    <t>P. AHORRO ESPECIAL NO. 43</t>
  </si>
  <si>
    <t>P AHORRO ESPECIAL 44</t>
  </si>
  <si>
    <t>P. AHORRO ESPECIAL NO. 45</t>
  </si>
  <si>
    <t>P. AHORRO ESPECIAL NO. 46</t>
  </si>
  <si>
    <t>P. AHORRO ESPECIAL NO. 47</t>
  </si>
  <si>
    <t>P. AHORRO ESPECIAL NO. 48</t>
  </si>
  <si>
    <t>RENTA FIJA CORTO PLAZO VI</t>
  </si>
  <si>
    <t>P. AHORRO ESPECIAL NO. 49</t>
  </si>
  <si>
    <t>P. AHORRO ESPECIAL NO. 50</t>
  </si>
  <si>
    <t>P. AHORRO ESPECIAL NO. 51</t>
  </si>
  <si>
    <t>PORTAFOLIO P AHORRO ESPECIAL NO 52</t>
  </si>
  <si>
    <t>ESTRATEGIA CREDITO I</t>
  </si>
  <si>
    <t>PORTAFOLIO P AHORRO ESPECIAL NO 54</t>
  </si>
  <si>
    <t>PORTAFOLIO P AHORRO ESPECIAL NO 56</t>
  </si>
  <si>
    <t>PORTAFOLIO P AHORRO ESPECIAL NO 59</t>
  </si>
  <si>
    <t>PORTAFOLIO P AHORRO ESPECIAL NO 58</t>
  </si>
  <si>
    <t>PORTAFOLIO P AHORRO ESPECIAL NO 57</t>
  </si>
  <si>
    <t>PORTAFOLIO P AHORRO ESPECIAL NO 55</t>
  </si>
  <si>
    <t>ESTRUCTURADO XII</t>
  </si>
  <si>
    <t>PORTAFOLIO P AHORRO ESPECIAL NO 60</t>
  </si>
  <si>
    <t>PORTAFOLIO RENTA FIJA CORTO PLAZO VII</t>
  </si>
  <si>
    <t>PORTAFOLIO P AHORRO ESPECIAL NO 61</t>
  </si>
  <si>
    <t>P. AHORRO ESPECIAL NO. 64</t>
  </si>
  <si>
    <t>P. AHORRO ESPECIAL NO. 63</t>
  </si>
  <si>
    <t>FONDO VOLUNTARIO DE PENSIÓN BTG PACTUAL</t>
  </si>
  <si>
    <t>FVP BTG PACTUAL RENTA FIJA LOCAL</t>
  </si>
  <si>
    <t>FVP BTG PACTUAL ACCIONES MERCADOS DESARROLLADOS</t>
  </si>
  <si>
    <t>8.36</t>
  </si>
  <si>
    <t>FVP BTG PACTUAL ACCIONES COLOMBIA</t>
  </si>
  <si>
    <t>45.29</t>
  </si>
  <si>
    <t>FVP BTG PACTUAL CERRADO ESPECIAL 1</t>
  </si>
  <si>
    <t>4.7</t>
  </si>
  <si>
    <t>FVP BTG PACTUAL CERRADO ESPECIAL 3</t>
  </si>
  <si>
    <t>FVP BTG PACTUAL CERRADO ESPECIAL LBSF 1</t>
  </si>
  <si>
    <t>14.23</t>
  </si>
  <si>
    <t>7.48</t>
  </si>
  <si>
    <t>PORTAFOLIO ABIERTO ESTABLE</t>
  </si>
  <si>
    <t>PORTAFOLIO CERRADO INMOBILIARIO ACTIVOS INMOBILIARIOS DLLE</t>
  </si>
  <si>
    <t>PORTAFOLIO CERRADO INMOBILIARIO LOS TORILES</t>
  </si>
  <si>
    <t>3.38</t>
  </si>
  <si>
    <t>PORTAFOLIO CERRADO FICI CERRADO INMOVAL CREDICORP</t>
  </si>
  <si>
    <t>5.51</t>
  </si>
  <si>
    <t>PORTAFOLIO CERRADO FICI ALIANZA FEBRERO 15 DE 2012</t>
  </si>
  <si>
    <t>8.23</t>
  </si>
  <si>
    <t>PORTAFOLIO CERRADO FICI ALIANZA FEBRERO 29 DE 2012</t>
  </si>
  <si>
    <t>PORTAFOLIO CERRADO FICI ALIANZA MAYO 30 DE 2012</t>
  </si>
  <si>
    <t>3.14</t>
  </si>
  <si>
    <t>PORTAFOLIO CERRADO FICI ALIANZA DICIEMBRE 17 DE 2012</t>
  </si>
  <si>
    <t>3.21</t>
  </si>
  <si>
    <t>PORTAFOLIO CERRADO FICI ALIANZA ABRIL 01 DE 2013</t>
  </si>
  <si>
    <t>PORTAFOLIO CERRADO FICI ALIANZA JUNIO 2013</t>
  </si>
  <si>
    <t>PORTAFOLIO CERRADO FICI ALIANZA TRAMO AGOSTO 2013</t>
  </si>
  <si>
    <t>3.13</t>
  </si>
  <si>
    <t>PORTAFOLIO CERRADO FICI RENTAS INMOBILIARIAS VISUM BTG PACTUAL MAR 2015</t>
  </si>
  <si>
    <t>8.86</t>
  </si>
  <si>
    <t>PORTAFOLIO CERRADO INMOBILIARIO OFICINA ESCALAR CALLE 95</t>
  </si>
  <si>
    <t>4.85</t>
  </si>
  <si>
    <t>PORTAFOLIO CERRADO PEI V2 DIC 2015</t>
  </si>
  <si>
    <t>-5.88</t>
  </si>
  <si>
    <t>PORTAFOLIO CERRADO PEI V3 ENE 2016</t>
  </si>
  <si>
    <t>PORTAFOLIO CERRADO INMOBILIARIO EDIFICIO MONTES PH</t>
  </si>
  <si>
    <t>PORTAFOLIO ABIERTO RENTA FIJA COLOMBIA</t>
  </si>
  <si>
    <t>PORTAFOLIO ABIERTO INMOBILIARIA COLOMBIA</t>
  </si>
  <si>
    <t>PORTAFOLIO ABIERTO ACCIONES COLOMBIA</t>
  </si>
  <si>
    <t>29.84</t>
  </si>
  <si>
    <t>PORTAFOLIO ABIERTO ACCIONES GLOBALES</t>
  </si>
  <si>
    <t>PORTAFOLIO CERRADO INMOBILIARIO EDIFICIO CHICO RESERVADO 98 PH - 706</t>
  </si>
  <si>
    <t>PORTAFOLIO ABIERTO ACTIVOS NO TRADICIONALES COLOMBIA</t>
  </si>
  <si>
    <t>PORTAFOLIO CERRADO INMOBILIARIO ALAIA 3</t>
  </si>
  <si>
    <t>0.73</t>
  </si>
  <si>
    <t>PORTAFOLIO CERRADO INMOBILIARIO EDIFICIO CHICO RESERVADO 98 PH - 705</t>
  </si>
  <si>
    <t>PORTAFOLIO CERRADO INMOBILIARIO CC MAYORCA ETAPA 3</t>
  </si>
  <si>
    <t>PORTAFOLIO ABIERTO LIQUIDEZ DÓLAR</t>
  </si>
  <si>
    <t>-7.69</t>
  </si>
  <si>
    <t>PORTAFOLIO CERRADO INMOBILIARIO EDIFICIO CHICO RESERVADO 98 PH - 406</t>
  </si>
  <si>
    <t>PORTAFOLIO CERRADO INMOBILIARIO HIDALGO - TORRES DE RIOFUEGO PH</t>
  </si>
  <si>
    <t>1.54</t>
  </si>
  <si>
    <t>PORTAFOLIO ABIERTO BALANCEADO MODERADO</t>
  </si>
  <si>
    <t>PORTAFOLIO CERRADO INMOBILIARIO EDIFICIO 8 28 PH - OFICINAS 403 404</t>
  </si>
  <si>
    <t>8.38</t>
  </si>
  <si>
    <t>PORTAFOLIO CERRADO FCP INMOBILIARIO CCLA OCT 2019</t>
  </si>
  <si>
    <t>-0.15</t>
  </si>
  <si>
    <t>PORTAFOLIO CERRADO INMOBILIARIO PA NATIVO FLORA PH</t>
  </si>
  <si>
    <t>3.76</t>
  </si>
  <si>
    <t>PORTAFOLIO CERRADO FCP INMOBILIARIO CCLA NOV 2019</t>
  </si>
  <si>
    <t>-0.16</t>
  </si>
  <si>
    <t>PORTAFOLIO CERRADO INMOBILIARIO EDIFICIO SANTAMARIA APTO 403-502 TORRE 4</t>
  </si>
  <si>
    <t>PORTAFOLIO CERRADO INMOBILIARIO EDIFICIO CHICO RESERVADO 98 PH - 5 APTOS</t>
  </si>
  <si>
    <t>PORTAFOLIO CERRADO INMOBILIARIO CACHIVACHES EDIFICIO CALLE 84</t>
  </si>
  <si>
    <t>-0.29</t>
  </si>
  <si>
    <t>PORTAFOLIO ABIERTO RENTA FIJA CONSERVADORA</t>
  </si>
  <si>
    <t>7.26</t>
  </si>
  <si>
    <t>PORTAFOLIO CERRADO FICI ALIANZA TRAMO SEP 2020</t>
  </si>
  <si>
    <t>3.06</t>
  </si>
  <si>
    <t>PORTAFOLIO ABIERTO RENTA FIJA GLOBAL SIN COBERTURA</t>
  </si>
  <si>
    <t>-2.94</t>
  </si>
  <si>
    <t>PORTAFOLIO CERRADO INMOBILIARIO BODEGAS DLF</t>
  </si>
  <si>
    <t>20.5</t>
  </si>
  <si>
    <t>PORTAFOLIO CERRADO INMOBILIARIO EDIFICIO CALLE 90 13A - OFICINAS P6</t>
  </si>
  <si>
    <t>PORTAFOLIO CERRADO DIRECT LENDING US CON COBERTURA</t>
  </si>
  <si>
    <t>PORTAFOLIO CERRADO DIRECT LENDING US SIN COBERTURA</t>
  </si>
  <si>
    <t>-7.54</t>
  </si>
  <si>
    <t>PORTAFOLIO CERRADO INMOBILIARIO AGROBELLAVISTA PH 500</t>
  </si>
  <si>
    <t>PORTAFOLIO CERRADO SENTENCIAS NACIÓN</t>
  </si>
  <si>
    <t>PORTAFOLIO CERRADO SPECIALTY FINANCE II SIN COBERTURA</t>
  </si>
  <si>
    <t>PORTAFOLIO CERRADO SPECIALTY FINANCE II CON COBERTURA</t>
  </si>
  <si>
    <t>PORTAFOLIO CERRADO INMOBILIARIO SEIKOU 66</t>
  </si>
  <si>
    <t>PORTAFOLIO CERRADO SENTENCIAS NACIÓN II</t>
  </si>
  <si>
    <t>PORTAFOLIO CERRADO SENTENCIAS NACIÓN II TRAMO 2</t>
  </si>
  <si>
    <t>PORTAFOLIO ABIERTO RENTA FIJA CORPORATIVA COLOMBIA</t>
  </si>
  <si>
    <t>PORTAFOLIO ABIERTO RECAUDADOR</t>
  </si>
  <si>
    <t>PORTAFOLIO CERRADO INMOBILIARIO SOLUCIONES LABORALES HORIZONTE</t>
  </si>
  <si>
    <t>PORTAFOLIO CERRADO INMOBILIARIO ARMENTA CHAVARRO</t>
  </si>
  <si>
    <t>6.16</t>
  </si>
  <si>
    <t>PORTAFOLIO CERRADO INMOBILIARIO EDIFICIO SANTA TERESA</t>
  </si>
  <si>
    <t>PORTAFOLIO PARQUE INDUSTRIAL POTRERO CHICO</t>
  </si>
  <si>
    <t>20.13</t>
  </si>
  <si>
    <t>PORTAFOLIO CERRADO INMOBILIARIO EL VERGEL SANTILLANA</t>
  </si>
  <si>
    <t>PORTAFOLIO CERRADO INMOBILIARIO EDIFICIO ACENTO PH</t>
  </si>
  <si>
    <t>PORTAFOLIO INMOBILIARIO CASA BARRIOS UNIDOS</t>
  </si>
  <si>
    <t>0.6</t>
  </si>
  <si>
    <t>PORTAFOLIO CERRADO ALTERNATIVOS LOCAL MP NO 1</t>
  </si>
  <si>
    <t>13.16</t>
  </si>
  <si>
    <t>PORTAFOLIO CERRADO ALTERNATIVOS LOCAL MP NO 2</t>
  </si>
  <si>
    <t>14.2</t>
  </si>
  <si>
    <t>PORTAFOLIO INMOBILIARIO DFL BODEGA 3B</t>
  </si>
  <si>
    <t>PORTAFOLIO INMOBILIARIO NÓRDICA</t>
  </si>
  <si>
    <t>4.86</t>
  </si>
  <si>
    <t>PORTAFOLIO CERRADO ALTERNATIVOS LOCAL MP NO 3</t>
  </si>
  <si>
    <t>PORTAFOLIO CERRADO ALTERNATIVOS LOCAL MP NO 4</t>
  </si>
  <si>
    <t>14.25</t>
  </si>
  <si>
    <t>PORTAFOLIO INMOBILIARIO UH ABOGADOS</t>
  </si>
  <si>
    <t>PORTAFOLIO SENTENCIAS NACIÓN NO 3</t>
  </si>
  <si>
    <t>11.38</t>
  </si>
  <si>
    <t>PORTAFOLIO INMOBILIARIO BUENO MALLARINO</t>
  </si>
  <si>
    <t>17.52</t>
  </si>
  <si>
    <t>PORTAFOLIO RENTA FIJA NUEVA ERA</t>
  </si>
  <si>
    <t>PORTAFOLIO CERRADO INMOBILIARIO PALMIRA S.A</t>
  </si>
  <si>
    <t>PORTAFOLIO SENTENCIAS NACIÓN NO 3 OPCIÓN 2</t>
  </si>
  <si>
    <t>PORTAFOLIO CERRADO ALTERNATIVOS LOCAL LP 7 AÑOS NO 2</t>
  </si>
  <si>
    <t>19.02</t>
  </si>
  <si>
    <t>PORTAFOLIO CERRADO INMOBILIARIO DISTRICOL</t>
  </si>
  <si>
    <t>8.76</t>
  </si>
  <si>
    <t>PORTAFOLIO SENTENCIAS NACIÓN NO 4</t>
  </si>
  <si>
    <t>12.66</t>
  </si>
  <si>
    <t>PORTAFOLIO CERRADO ACTIVOS ALTERNATIVOS NO 6</t>
  </si>
  <si>
    <t>PORTAFOLIO SENTENCIAS NACIÓN NO 4 OPCIÓN 2</t>
  </si>
  <si>
    <t>PORTAFOLIO CERRADO ALTERNATIVOS LOCAL LP 7 AÑOS</t>
  </si>
  <si>
    <t>19.8</t>
  </si>
  <si>
    <t>PORTAFOLIO CERRADO ACTIVOS ALTERNATIVOS NO 7</t>
  </si>
  <si>
    <t>PORTAFOLIO SENTENCIAS NACIÓN NO 5</t>
  </si>
  <si>
    <t>14.94</t>
  </si>
  <si>
    <t>PORTAFOLIO SENTENCIAS NACIÓN NO 5 - OPCIÓN 2</t>
  </si>
  <si>
    <t>14.99</t>
  </si>
  <si>
    <t>PORTAFOLIO CERRADO INMOBILIARIO HORNITOS</t>
  </si>
  <si>
    <t>32.99</t>
  </si>
  <si>
    <t>PORTAFOLIO ALTERNATIVOS NPLS ALIANZA</t>
  </si>
  <si>
    <t>PORTAFOLIO ALTERNATIVOS &amp; EQUITY COLOMBIA</t>
  </si>
  <si>
    <t>PORTAFOLIO CERRADO INMOBILIARIO HORNITOS NO2  LOCAL 106</t>
  </si>
  <si>
    <t>27.07</t>
  </si>
  <si>
    <t>PORTAFOLIO RENTA FIJA RAMAR</t>
  </si>
  <si>
    <t>3.62</t>
  </si>
  <si>
    <t>PORTAFOLIO CERRADO ALTERNATIVOS LOCAL MP 5 AÑOS NO 1</t>
  </si>
  <si>
    <t>PORTAFOLIO CERRADO INMOBILIARIO INVERSIONES BURITICÁ</t>
  </si>
  <si>
    <t>36.47</t>
  </si>
  <si>
    <t>PORTAFOLIO ALTERNATIVOS &amp; EQUITY COLOMBIA NO 2</t>
  </si>
  <si>
    <t>13.35</t>
  </si>
  <si>
    <t>PORTAFOLIO CERRADO ALTERNATIVOS LOCAL MP 5 AÑOS NO 2</t>
  </si>
  <si>
    <t>PORTAFOLIO INMOBILIARIO CERRADO AGROBELLAVISTA IROTAMA 103</t>
  </si>
  <si>
    <t>PORTAFOLIO INMOBILIARIO CERRADO MAMAPAGU</t>
  </si>
  <si>
    <t>PORTAFOLIO CERRADO INMOBILIARIO SEIKOU KR 19 - 66 / 2025</t>
  </si>
  <si>
    <t>PORTAFOLIO CERRADO RENTA FIJA HIGH YIELD</t>
  </si>
  <si>
    <t>PORTAFOLIO INMOBILIARIO CERRADO FUNDONAR LOCAL 1-68 UNICENTRO PASTO</t>
  </si>
  <si>
    <t>PORTAFOLIO RENTA FIJA RAMAR NO 1</t>
  </si>
  <si>
    <t>PORTAFOLIO RENTA FIJA RAMAR NO 2|</t>
  </si>
  <si>
    <t>PORTAFOLIO CERRADO RENTA FIJA SOBERANA BRASIL</t>
  </si>
  <si>
    <t>PORTAFOLIO CERRADO INMOBILIARIO VIRREY I Y II</t>
  </si>
  <si>
    <t>PORTAFOLIO SENTENCIAS NACIÓN NO 6</t>
  </si>
  <si>
    <t>PORTAFOLIO CERRADO INMOBILIARIO AGROBELLAVISTA IROTAMA 602</t>
  </si>
  <si>
    <t>PORTAFOLIO CERRADO UVR CREDIFAMILIA</t>
  </si>
  <si>
    <t>PORTAFOLIO CERRADO INMOBILIARIO FIX INMOBILIARIA</t>
  </si>
  <si>
    <t>PORTAFOLIO RENTA FIJA URDANETA GUTIÉRREZ</t>
  </si>
  <si>
    <t>PORTAFOLIO SENTENCIAS NACIÓN NO 6 - OPCIÓN 2</t>
  </si>
  <si>
    <t>PORTAFOLIO CERRADO OPORTUNÍSTICO T-BILLS 90 DÍAS CON COBERTURA</t>
  </si>
  <si>
    <t>PORTAFOLIO CERRADO OPORTUNÍSTICO T-BILLS 180 DÍAS CON COBERTURA</t>
  </si>
  <si>
    <t>PORTAFOLIO CERRADO DIVERSIFICADO ALIANZA OFFSHORE</t>
  </si>
  <si>
    <t>Fiduciaria Bancolombia S.A. Sociedad Fiduciaria</t>
  </si>
  <si>
    <t>FONDO VOLUNTARIO DE PENSION CIBEST CAPITAL</t>
  </si>
  <si>
    <t>FIDUCUENTA PENSION</t>
  </si>
  <si>
    <t>💡 Las 5 tasas son dinámicas (API). Actualiza con Datos → Actualizar todo (Ctrl+Alt+F5).</t>
  </si>
  <si>
    <t>11.24</t>
  </si>
  <si>
    <t>3.79</t>
  </si>
  <si>
    <t>10.23</t>
  </si>
  <si>
    <t>0.99</t>
  </si>
  <si>
    <t>12.41</t>
  </si>
  <si>
    <t>12.05</t>
  </si>
  <si>
    <t>13.69</t>
  </si>
  <si>
    <t>8.94</t>
  </si>
  <si>
    <t>10.07</t>
  </si>
  <si>
    <t>"Bold C.F.", "Bold CF S.A.", o "Bold. CF"</t>
  </si>
  <si>
    <t>11.04</t>
  </si>
  <si>
    <t>11.92</t>
  </si>
  <si>
    <t>0.44</t>
  </si>
  <si>
    <t>8.4</t>
  </si>
  <si>
    <t>Lulo Bank S.A.</t>
  </si>
  <si>
    <t>7.97</t>
  </si>
  <si>
    <t>4.95</t>
  </si>
  <si>
    <t>A MAS DE 5 DIAS DIAS HABILES (SOLO EN PESOS)</t>
  </si>
  <si>
    <t>10.24</t>
  </si>
  <si>
    <t>9.22</t>
  </si>
  <si>
    <t>NU COLOMBIA COMPAÑÍA DE FINANCIAMIENTO S.A.</t>
  </si>
  <si>
    <t>3.11</t>
  </si>
  <si>
    <t>4.78</t>
  </si>
  <si>
    <t>0.22</t>
  </si>
  <si>
    <t>7.85</t>
  </si>
  <si>
    <t>10.18</t>
  </si>
  <si>
    <t>11.52</t>
  </si>
  <si>
    <t>10.56</t>
  </si>
  <si>
    <t>4.39</t>
  </si>
  <si>
    <t>8.03</t>
  </si>
  <si>
    <t>9.93</t>
  </si>
  <si>
    <t>11.56</t>
  </si>
  <si>
    <t>13.11</t>
  </si>
  <si>
    <t>1.36</t>
  </si>
  <si>
    <t>7.65</t>
  </si>
  <si>
    <t>9.36</t>
  </si>
  <si>
    <t>10.48</t>
  </si>
  <si>
    <t>8.65</t>
  </si>
  <si>
    <t>10.55</t>
  </si>
  <si>
    <t>12.28</t>
  </si>
  <si>
    <t>6.91</t>
  </si>
  <si>
    <t>11.5</t>
  </si>
  <si>
    <t>4.61</t>
  </si>
  <si>
    <t>9.09</t>
  </si>
  <si>
    <t>3.22</t>
  </si>
  <si>
    <t>8.93</t>
  </si>
  <si>
    <t>9.35</t>
  </si>
  <si>
    <t>8.21</t>
  </si>
  <si>
    <t>8.58</t>
  </si>
  <si>
    <t>10.34</t>
  </si>
  <si>
    <t>9.99</t>
  </si>
  <si>
    <t>10.15</t>
  </si>
  <si>
    <t>15</t>
  </si>
  <si>
    <t>9.15</t>
  </si>
  <si>
    <t>10.65</t>
  </si>
  <si>
    <t>11.22</t>
  </si>
  <si>
    <t>12.17</t>
  </si>
  <si>
    <t>10.97</t>
  </si>
  <si>
    <t>0.19</t>
  </si>
  <si>
    <t>9.64</t>
  </si>
  <si>
    <t>10.19</t>
  </si>
  <si>
    <t>11.97</t>
  </si>
  <si>
    <t>12.78</t>
  </si>
  <si>
    <t>9.92</t>
  </si>
  <si>
    <t>0.52</t>
  </si>
  <si>
    <t>5.55</t>
  </si>
  <si>
    <t>9.5</t>
  </si>
  <si>
    <t>11.99</t>
  </si>
  <si>
    <t>9.17</t>
  </si>
  <si>
    <t>9.12</t>
  </si>
  <si>
    <t>11.51</t>
  </si>
  <si>
    <t>11.39</t>
  </si>
  <si>
    <t>7.83</t>
  </si>
  <si>
    <t>7.93</t>
  </si>
  <si>
    <t>4.98</t>
  </si>
  <si>
    <t>0.49</t>
  </si>
  <si>
    <t>13.36</t>
  </si>
  <si>
    <t>9.61</t>
  </si>
  <si>
    <t>11.67</t>
  </si>
  <si>
    <t>7.37</t>
  </si>
  <si>
    <t>10.67</t>
  </si>
  <si>
    <t>1.64</t>
  </si>
  <si>
    <t>13.68</t>
  </si>
  <si>
    <t>10.29</t>
  </si>
  <si>
    <t>CREDICORP CAPITAL CORPORACION FINANCIERA S.A.</t>
  </si>
  <si>
    <t>3.5</t>
  </si>
  <si>
    <t>9.96</t>
  </si>
  <si>
    <t>10.21</t>
  </si>
  <si>
    <t>12.35</t>
  </si>
  <si>
    <t>0.67</t>
  </si>
  <si>
    <t>4.5</t>
  </si>
  <si>
    <t>12.85</t>
  </si>
  <si>
    <t>11.32</t>
  </si>
  <si>
    <t>11.83</t>
  </si>
  <si>
    <t>7.69</t>
  </si>
  <si>
    <t>3.64</t>
  </si>
  <si>
    <t>12.36</t>
  </si>
  <si>
    <t>5.44</t>
  </si>
  <si>
    <t>6.6</t>
  </si>
  <si>
    <t>7.14</t>
  </si>
  <si>
    <t>6.19</t>
  </si>
  <si>
    <t>9.54</t>
  </si>
  <si>
    <t>18.06</t>
  </si>
  <si>
    <t>11.09</t>
  </si>
  <si>
    <t>6.74</t>
  </si>
  <si>
    <t>11.57</t>
  </si>
  <si>
    <t>4.28</t>
  </si>
  <si>
    <t>1.71</t>
  </si>
  <si>
    <t>10.93</t>
  </si>
  <si>
    <t>10.89</t>
  </si>
  <si>
    <t>0.78</t>
  </si>
  <si>
    <t>9.95</t>
  </si>
  <si>
    <t>7.08</t>
  </si>
  <si>
    <t>8.57</t>
  </si>
  <si>
    <t>9.27</t>
  </si>
  <si>
    <t>10.08</t>
  </si>
  <si>
    <t>12.47</t>
  </si>
  <si>
    <t>4.09</t>
  </si>
  <si>
    <t>2.3</t>
  </si>
  <si>
    <t>9.83</t>
  </si>
  <si>
    <t>1.09</t>
  </si>
  <si>
    <t>1.95</t>
  </si>
  <si>
    <t>11.02</t>
  </si>
  <si>
    <t>11.62</t>
  </si>
  <si>
    <t>11.72</t>
  </si>
  <si>
    <t>2.57</t>
  </si>
  <si>
    <t>0.53</t>
  </si>
  <si>
    <t>12.21</t>
  </si>
  <si>
    <t>📥 DATOS API CDT — Tasas de Captación (datos.gov.co)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</si>
</sst>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"/>
    <numFmt numFmtId="167" formatCode="0.0%"/>
    <numFmt numFmtId="168" formatCode="&quot;$&quot;#,##0"/>
    <numFmt numFmtId="169" formatCode="0.0&quot;x&quot;"/>
  </numFmts>
  <fonts count="40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4"/>
      <color rgb="FF2E86AB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3"/>
      <color theme="1"/>
      <name val="Calibri"/>
      <family val="2"/>
      <charset val="1"/>
    </font>
    <font>
      <b/>
      <sz val="13"/>
      <color rgb="FF0000FF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888888"/>
      <name val="Calibri"/>
      <family val="2"/>
      <charset val="1"/>
    </font>
    <font>
      <i/>
      <sz val="10"/>
      <color rgb="FF888888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1"/>
      <color rgb="FF666666"/>
      <name val="Calibri"/>
      <family val="2"/>
      <charset val="1"/>
    </font>
    <font>
      <sz val="11"/>
      <color rgb="FF888888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6"/>
      <color rgb="FF1B5E20"/>
      <name val="Calibri"/>
      <family val="2"/>
      <charset val="1"/>
    </font>
    <font>
      <b/>
      <sz val="13"/>
      <color rgb="FF008000"/>
      <name val="Calibri"/>
      <family val="2"/>
      <charset val="1"/>
    </font>
    <font>
      <b/>
      <sz val="13"/>
      <color rgb="FFE65100"/>
      <name val="Calibri"/>
      <family val="2"/>
      <charset val="1"/>
    </font>
    <font>
      <b/>
      <sz val="16"/>
      <color rgb="FFE65100"/>
      <name val="Calibri"/>
      <family val="2"/>
      <charset val="1"/>
    </font>
    <font>
      <b/>
      <sz val="14"/>
      <color rgb="FF1B5E20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20"/>
      <color rgb="FFFFFFFF"/>
      <name val="Calibri"/>
      <family val="2"/>
      <charset val="1"/>
    </font>
    <font>
      <i/>
      <sz val="11"/>
      <color rgb="FFFFFFFF"/>
      <name val="Calibri"/>
      <family val="2"/>
      <charset val="1"/>
    </font>
    <font>
      <i/>
      <sz val="9"/>
      <color rgb="FF888888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1"/>
      <color rgb="FF008000"/>
      <name val="Calibri"/>
      <family val="2"/>
      <charset val="1"/>
    </font>
    <font>
      <b/>
      <sz val="13"/>
      <color rgb="FF2E86AB"/>
      <name val="Calibri"/>
      <family val="2"/>
      <charset val="1"/>
    </font>
    <font>
      <b/>
      <sz val="14"/>
      <color rgb="FFFF9800"/>
      <name val="Calibri"/>
      <family val="2"/>
      <charset val="1"/>
    </font>
    <font>
      <sz val="11"/>
      <color rgb="FF444444"/>
      <name val="Calibri"/>
      <family val="2"/>
      <charset val="1"/>
    </font>
    <font>
      <b/>
      <sz val="14"/>
      <color rgb="FF27AE60"/>
      <name val="Calibri"/>
      <family val="2"/>
      <charset val="1"/>
    </font>
    <font>
      <b/>
      <sz val="14"/>
      <color rgb="FF9C27B0"/>
      <name val="Calibri"/>
      <family val="2"/>
      <charset val="1"/>
    </font>
    <font>
      <sz val="10"/>
      <color rgb="FF333333"/>
      <name val="Calibri"/>
      <family val="2"/>
      <charset val="1"/>
    </font>
    <font>
      <sz val="9"/>
      <color theme="1"/>
      <name val="Calibri"/>
      <family val="2"/>
      <charset val="1"/>
    </font>
    <font>
      <i/>
      <sz val="10"/>
      <color rgb="FF666666"/>
      <name val="Calibri"/>
      <family val="2"/>
      <charset val="1"/>
    </font>
    <font>
      <i/>
      <sz val="12"/>
      <color rgb="FF555555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26"/>
      <color rgb="FF2E86AB"/>
      <name val="Calibri"/>
      <family val="2"/>
      <charset val="1"/>
    </font>
    <font>
      <b/>
      <sz val="11"/>
      <color rgb="FF2E86AB"/>
      <name val="Calibri"/>
      <family val="2"/>
      <charset val="1"/>
    </font>
    <font>
      <i/>
      <sz val="12"/>
      <color rgb="FF2E86AB"/>
      <name val="Calibri"/>
      <family val="2"/>
      <charset val="1"/>
    </font>
    <font>
      <b/>
      <sz val="11"/>
      <color rgb="FF9C27B0"/>
      <name val="Calibri"/>
      <family val="2"/>
      <charset val="1"/>
    </font>
    <font>
      <sz val="9"/>
      <color rgb="FF9C27B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  <fill>
      <patternFill patternType="solid">
        <fgColor rgb="FF3A9BC7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0FAF0"/>
        <bgColor indexed="64"/>
      </patternFill>
    </fill>
    <fill>
      <patternFill patternType="solid">
        <fgColor rgb="FFE8F8E8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FB74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66BB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9C27B0"/>
        <bgColor indexed="64"/>
      </patternFill>
    </fill>
  </fills>
  <borders count="13">
    <border>
      <left/>
      <right/>
      <top/>
      <bottom/>
      <diagonal/>
    </border>
    <border>
      <left style="thin">
        <color rgb="FF2E86AB"/>
      </left>
      <right style="thin">
        <color rgb="FF2E86AB"/>
      </right>
      <top style="thin">
        <color rgb="FF2E86AB"/>
      </top>
      <bottom/>
      <diagonal/>
    </border>
    <border>
      <left style="thin">
        <color rgb="FFFF9800"/>
      </left>
      <right style="thin">
        <color rgb="FFFF9800"/>
      </right>
      <top style="thin">
        <color rgb="FFFF9800"/>
      </top>
      <bottom style="thin">
        <color rgb="FFFF9800"/>
      </bottom>
      <diagonal/>
    </border>
    <border>
      <left/>
      <right/>
      <top style="thin">
        <color rgb="FF2E86AB"/>
      </top>
      <bottom/>
      <diagonal/>
    </border>
    <border>
      <left style="thin">
        <color rgb="FF2E86AB"/>
      </left>
      <right/>
      <top/>
      <bottom/>
      <diagonal/>
    </border>
    <border>
      <left style="thin">
        <color rgb="FF2E86AB"/>
      </left>
      <right style="thin">
        <color rgb="FF2E86AB"/>
      </right>
      <top/>
      <bottom/>
      <diagonal/>
    </border>
    <border>
      <left style="thin">
        <color rgb="FF2E86AB"/>
      </left>
      <right style="thin">
        <color rgb="FF2E86AB"/>
      </right>
      <top/>
      <bottom style="thin">
        <color rgb="FF2E86AB"/>
      </bottom>
      <diagonal/>
    </border>
    <border>
      <left/>
      <right/>
      <top style="thin">
        <color rgb="FF2E86AB"/>
      </top>
      <bottom style="thin">
        <color rgb="FFDDDDDD"/>
      </bottom>
      <diagonal/>
    </border>
    <border>
      <left style="thin">
        <color rgb="FFFF9800"/>
      </left>
      <right/>
      <top/>
      <bottom/>
      <diagonal/>
    </border>
    <border>
      <left style="thick">
        <color rgb="FFFF9800"/>
      </left>
      <right/>
      <top/>
      <bottom/>
      <diagonal/>
    </border>
    <border>
      <left style="thick">
        <color rgb="FF27AE60"/>
      </left>
      <right/>
      <top/>
      <bottom/>
      <diagonal/>
    </border>
    <border>
      <left style="thick">
        <color rgb="FF9C27B0"/>
      </left>
      <right/>
      <top/>
      <bottom/>
      <diagonal/>
    </border>
    <border>
      <left/>
      <right/>
      <top/>
      <bottom style="thin">
        <color rgb="FF9C27B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/>
    <xf numFmtId="0" fontId="3" fillId="0" borderId="0" xfId="0" applyFont="1"/>
    <xf numFmtId="0" fontId="10" fillId="0" borderId="0" xfId="0" applyFont="1"/>
    <xf numFmtId="0" fontId="3" fillId="6" borderId="0" xfId="0" applyFont="1" applyFill="1"/>
    <xf numFmtId="0" fontId="3" fillId="7" borderId="0" xfId="0" applyFont="1" applyFill="1"/>
    <xf numFmtId="0" fontId="12" fillId="0" borderId="0" xfId="0" applyFont="1"/>
    <xf numFmtId="0" fontId="12" fillId="8" borderId="0" xfId="0" applyFont="1" applyFill="1"/>
    <xf numFmtId="0" fontId="3" fillId="9" borderId="0" xfId="0" applyFont="1" applyFill="1"/>
    <xf numFmtId="0" fontId="13" fillId="9" borderId="0" xfId="0" applyFont="1" applyFill="1" applyAlignment="1">
      <alignment horizontal="center"/>
    </xf>
    <xf numFmtId="0" fontId="1" fillId="11" borderId="0" xfId="0" applyFont="1" applyFill="1"/>
    <xf numFmtId="0" fontId="0" fillId="11" borderId="0" xfId="0" applyFill="1"/>
    <xf numFmtId="0" fontId="14" fillId="11" borderId="0" xfId="0" applyFont="1" applyFill="1"/>
    <xf numFmtId="0" fontId="14" fillId="0" borderId="0" xfId="0" applyFont="1"/>
    <xf numFmtId="0" fontId="0" fillId="14" borderId="0" xfId="0" applyFill="1"/>
    <xf numFmtId="0" fontId="3" fillId="14" borderId="0" xfId="0" applyFont="1" applyFill="1" applyAlignment="1">
      <alignment horizontal="center" vertical="center" wrapText="1"/>
    </xf>
    <xf numFmtId="0" fontId="12" fillId="9" borderId="0" xfId="0" applyFont="1" applyFill="1"/>
    <xf numFmtId="0" fontId="11" fillId="0" borderId="0" xfId="0" applyFont="1"/>
    <xf numFmtId="0" fontId="18" fillId="0" borderId="0" xfId="0" applyFont="1"/>
    <xf numFmtId="0" fontId="19" fillId="4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20" fillId="16" borderId="0" xfId="0" applyFont="1" applyFill="1"/>
    <xf numFmtId="0" fontId="0" fillId="16" borderId="0" xfId="0" applyFill="1"/>
    <xf numFmtId="0" fontId="21" fillId="17" borderId="0" xfId="0" applyFont="1" applyFill="1"/>
    <xf numFmtId="0" fontId="0" fillId="17" borderId="0" xfId="0" applyFill="1"/>
    <xf numFmtId="3" fontId="0" fillId="0" borderId="0" xfId="0" applyNumberFormat="1" applyAlignment="1">
      <alignment horizontal="center"/>
    </xf>
    <xf numFmtId="167" fontId="4" fillId="8" borderId="0" xfId="0" applyNumberFormat="1" applyFont="1" applyFill="1" applyAlignment="1">
      <alignment horizontal="center"/>
    </xf>
    <xf numFmtId="168" fontId="14" fillId="0" borderId="0" xfId="0" applyNumberFormat="1" applyFont="1"/>
    <xf numFmtId="167" fontId="14" fillId="0" borderId="0" xfId="0" applyNumberFormat="1" applyFont="1"/>
    <xf numFmtId="168" fontId="15" fillId="0" borderId="0" xfId="0" applyNumberFormat="1" applyFont="1" applyAlignment="1">
      <alignment horizontal="center"/>
    </xf>
    <xf numFmtId="169" fontId="16" fillId="0" borderId="0" xfId="0" applyNumberFormat="1" applyFont="1" applyAlignment="1">
      <alignment horizontal="center"/>
    </xf>
    <xf numFmtId="168" fontId="12" fillId="6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68" fontId="3" fillId="6" borderId="0" xfId="0" applyNumberFormat="1" applyFont="1" applyFill="1" applyAlignment="1">
      <alignment horizontal="center"/>
    </xf>
    <xf numFmtId="168" fontId="3" fillId="7" borderId="0" xfId="0" applyNumberFormat="1" applyFont="1" applyFill="1" applyAlignment="1">
      <alignment horizontal="center"/>
    </xf>
    <xf numFmtId="166" fontId="17" fillId="9" borderId="0" xfId="0" applyNumberFormat="1" applyFont="1" applyFill="1" applyAlignment="1">
      <alignment horizontal="center"/>
    </xf>
    <xf numFmtId="166" fontId="11" fillId="0" borderId="0" xfId="0" applyNumberFormat="1" applyFont="1" applyAlignment="1">
      <alignment horizontal="center"/>
    </xf>
    <xf numFmtId="168" fontId="5" fillId="5" borderId="1" xfId="0" applyNumberFormat="1" applyFont="1" applyFill="1" applyBorder="1" applyAlignment="1" applyProtection="1">
      <alignment horizontal="center"/>
      <protection locked="0"/>
    </xf>
    <xf numFmtId="168" fontId="5" fillId="5" borderId="2" xfId="0" applyNumberFormat="1" applyFont="1" applyFill="1" applyBorder="1" applyAlignment="1" applyProtection="1">
      <alignment horizontal="center"/>
      <protection locked="0"/>
    </xf>
    <xf numFmtId="0" fontId="0" fillId="0" borderId="0" xfId="0"/>
    <xf numFmtId="0" fontId="20" fillId="2" borderId="0" xfId="0" applyFont="1" applyFill="1"/>
    <xf numFmtId="0" fontId="0" fillId="2" borderId="0" xfId="0" applyFill="1"/>
    <xf numFmtId="0" fontId="21" fillId="3" borderId="0" xfId="0" applyFont="1" applyFill="1"/>
    <xf numFmtId="0" fontId="25" fillId="4" borderId="0" xfId="0" applyFont="1" applyFill="1"/>
    <xf numFmtId="0" fontId="0" fillId="4" borderId="0" xfId="0" applyFill="1"/>
    <xf numFmtId="168" fontId="0" fillId="0" borderId="0" xfId="0" applyNumberFormat="1"/>
    <xf numFmtId="0" fontId="23" fillId="2" borderId="0" xfId="0" applyFont="1" applyFill="1"/>
    <xf numFmtId="10" fontId="24" fillId="5" borderId="3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23" fillId="10" borderId="0" xfId="0" applyFont="1" applyFill="1"/>
    <xf numFmtId="0" fontId="0" fillId="10" borderId="0" xfId="0" applyFill="1"/>
    <xf numFmtId="0" fontId="0" fillId="18" borderId="0" xfId="0" applyFill="1" applyAlignment="1">
      <alignment horizontal="center"/>
    </xf>
    <xf numFmtId="168" fontId="6" fillId="15" borderId="0" xfId="0" applyNumberFormat="1" applyFont="1" applyFill="1" applyAlignment="1">
      <alignment horizontal="center"/>
    </xf>
    <xf numFmtId="168" fontId="6" fillId="18" borderId="0" xfId="0" applyNumberFormat="1" applyFont="1" applyFill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0" xfId="0" applyFont="1"/>
    <xf numFmtId="0" fontId="5" fillId="5" borderId="5" xfId="0" applyFont="1" applyFill="1" applyBorder="1" applyAlignment="1" applyProtection="1">
      <alignment horizontal="center"/>
      <protection locked="0"/>
    </xf>
    <xf numFmtId="167" fontId="5" fillId="5" borderId="5" xfId="0" applyNumberFormat="1" applyFont="1" applyFill="1" applyBorder="1" applyAlignment="1" applyProtection="1">
      <alignment horizontal="center"/>
      <protection locked="0"/>
    </xf>
    <xf numFmtId="167" fontId="5" fillId="5" borderId="6" xfId="0" applyNumberFormat="1" applyFont="1" applyFill="1" applyBorder="1" applyAlignment="1" applyProtection="1">
      <alignment horizontal="center"/>
      <protection locked="0"/>
    </xf>
    <xf numFmtId="0" fontId="20" fillId="12" borderId="0" xfId="0" applyFont="1" applyFill="1"/>
    <xf numFmtId="0" fontId="0" fillId="12" borderId="0" xfId="0" applyFill="1"/>
    <xf numFmtId="0" fontId="21" fillId="13" borderId="0" xfId="0" applyFont="1" applyFill="1"/>
    <xf numFmtId="0" fontId="0" fillId="13" borderId="0" xfId="0" applyFill="1"/>
    <xf numFmtId="0" fontId="16" fillId="14" borderId="0" xfId="0" applyFont="1" applyFill="1"/>
    <xf numFmtId="0" fontId="0" fillId="14" borderId="0" xfId="0" applyFill="1"/>
    <xf numFmtId="0" fontId="8" fillId="0" borderId="8" xfId="0" applyFont="1" applyBorder="1"/>
    <xf numFmtId="0" fontId="23" fillId="12" borderId="0" xfId="0" applyFont="1" applyFill="1"/>
    <xf numFmtId="0" fontId="12" fillId="15" borderId="0" xfId="0" applyFont="1" applyFill="1"/>
    <xf numFmtId="0" fontId="10" fillId="15" borderId="0" xfId="0" applyFont="1" applyFill="1"/>
    <xf numFmtId="0" fontId="27" fillId="14" borderId="0" xfId="0" applyFont="1" applyFill="1" applyBorder="1" applyAlignment="1">
      <alignment wrapText="1"/>
    </xf>
    <xf numFmtId="0" fontId="26" fillId="14" borderId="9" xfId="0" applyFont="1" applyFill="1" applyBorder="1"/>
    <xf numFmtId="0" fontId="27" fillId="11" borderId="0" xfId="0" applyFont="1" applyFill="1" applyBorder="1" applyAlignment="1">
      <alignment wrapText="1"/>
    </xf>
    <xf numFmtId="0" fontId="28" fillId="11" borderId="10" xfId="0" applyFont="1" applyFill="1" applyBorder="1"/>
    <xf numFmtId="0" fontId="27" fillId="19" borderId="0" xfId="0" applyFont="1" applyFill="1" applyBorder="1" applyAlignment="1">
      <alignment wrapText="1"/>
    </xf>
    <xf numFmtId="0" fontId="29" fillId="19" borderId="11" xfId="0" applyFont="1" applyFill="1" applyBorder="1"/>
    <xf numFmtId="0" fontId="30" fillId="0" borderId="0" xfId="0" applyFont="1" applyAlignment="1">
      <alignment wrapText="1"/>
    </xf>
    <xf numFmtId="0" fontId="30" fillId="15" borderId="0" xfId="0" applyFont="1" applyFill="1" applyAlignment="1">
      <alignment wrapText="1"/>
    </xf>
    <xf numFmtId="0" fontId="3" fillId="15" borderId="0" xfId="0" applyFont="1" applyFill="1"/>
    <xf numFmtId="0" fontId="22" fillId="0" borderId="0" xfId="0" applyFont="1"/>
    <xf numFmtId="0" fontId="22" fillId="0" borderId="0" xfId="0" applyFont="1" applyAlignment="1">
      <alignment horizontal="center"/>
    </xf>
    <xf numFmtId="0" fontId="23" fillId="20" borderId="0" xfId="0" applyFont="1" applyFill="1"/>
    <xf numFmtId="0" fontId="0" fillId="20" borderId="0" xfId="0" applyFill="1"/>
    <xf numFmtId="0" fontId="3" fillId="19" borderId="0" xfId="0" applyFont="1" applyFill="1"/>
    <xf numFmtId="0" fontId="3" fillId="19" borderId="0" xfId="0" applyFont="1" applyFill="1" applyAlignment="1">
      <alignment horizontal="center"/>
    </xf>
    <xf numFmtId="10" fontId="24" fillId="0" borderId="0" xfId="0" applyNumberFormat="1" applyFont="1" applyAlignment="1">
      <alignment horizontal="center"/>
    </xf>
    <xf numFmtId="10" fontId="24" fillId="15" borderId="0" xfId="0" applyNumberFormat="1" applyFont="1" applyFill="1" applyAlignment="1">
      <alignment horizontal="center"/>
    </xf>
    <xf numFmtId="0" fontId="32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0" fillId="18" borderId="0" xfId="0" applyFill="1"/>
    <xf numFmtId="0" fontId="0" fillId="18" borderId="0" xfId="0" applyFill="1"/>
    <xf numFmtId="0" fontId="33" fillId="0" borderId="0" xfId="0" applyFont="1" applyAlignment="1">
      <alignment horizontal="center"/>
    </xf>
    <xf numFmtId="0" fontId="35" fillId="18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0" fontId="2" fillId="4" borderId="0" xfId="0" applyFont="1" applyFill="1"/>
    <xf numFmtId="0" fontId="9" fillId="2" borderId="0" xfId="0" applyFont="1" applyFill="1"/>
    <xf numFmtId="0" fontId="36" fillId="15" borderId="0" xfId="0" applyFont="1" applyFill="1"/>
    <xf numFmtId="0" fontId="36" fillId="0" borderId="0" xfId="0" applyFont="1"/>
    <xf numFmtId="0" fontId="37" fillId="15" borderId="0" xfId="0" applyFont="1" applyFill="1"/>
    <xf numFmtId="0" fontId="37" fillId="0" borderId="0" xfId="0" applyFont="1"/>
    <xf numFmtId="0" fontId="39" fillId="0" borderId="0" xfId="0" applyFont="1" applyAlignment="1">
      <alignment horizontal="center"/>
    </xf>
    <xf numFmtId="0" fontId="39" fillId="15" borderId="0" xfId="0" applyFont="1" applyFill="1" applyAlignment="1">
      <alignment horizontal="center"/>
    </xf>
    <xf numFmtId="0" fontId="9" fillId="20" borderId="0" xfId="0" applyFont="1" applyFill="1"/>
    <xf numFmtId="0" fontId="38" fillId="19" borderId="12" xfId="0" applyFont="1" applyFill="1" applyBorder="1" applyAlignment="1">
      <alignment horizontal="center"/>
    </xf>
    <xf numFmtId="0" fontId="6" fillId="18" borderId="0" xfId="0" applyFont="1" applyFill="1"/>
    <xf numFmtId="0" fontId="6" fillId="18" borderId="0" xfId="0" applyFont="1" applyFill="1" applyAlignment="1">
      <alignment horizontal="center"/>
    </xf>
    <xf numFmtId="0" fontId="31" fillId="18" borderId="0" xfId="0" applyFont="1" applyFill="1" applyAlignment="1">
      <alignment horizontal="center"/>
    </xf>
  </cellXfs>
  <cellStyles count="1">
    <cellStyle name="Normal" xfId="0" builtinId="0"/>
  </cellStyles>
  <dxfs count="19">
    <dxf>
      <font>
        <sz val="9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sz val="10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sz val="10"/>
      </font>
      <fill>
        <patternFill patternType="solid">
          <fgColor indexed="64"/>
          <bgColor rgb="FFFFFFFF"/>
        </patternFill>
      </fill>
    </dxf>
    <dxf>
      <font>
        <sz val="10"/>
      </font>
      <fill>
        <patternFill patternType="solid">
          <fgColor indexed="64"/>
          <bgColor rgb="FFFFFFFF"/>
        </patternFill>
      </fill>
    </dxf>
    <dxf>
      <font>
        <sz val="10"/>
      </font>
      <fill>
        <patternFill patternType="solid">
          <fgColor indexed="64"/>
          <bgColor rgb="FFFFFFFF"/>
        </patternFill>
      </fill>
    </dxf>
    <dxf>
      <font>
        <sz val="9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sz val="10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sz val="10"/>
      </font>
      <fill>
        <patternFill patternType="solid">
          <fgColor indexed="64"/>
          <bgColor rgb="FFFFFFFF"/>
        </patternFill>
      </fill>
    </dxf>
    <dxf>
      <font>
        <sz val="10"/>
      </font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3E5F5"/>
        </patternFill>
      </fill>
    </dxf>
    <dxf>
      <fill>
        <patternFill patternType="solid">
          <fgColor indexed="64"/>
          <bgColor rgb="FFF3E5F5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sz val="10"/>
      </font>
      <fill>
        <patternFill patternType="solid">
          <fgColor indexed="64"/>
          <bgColor rgb="FFFFFFFF"/>
        </patternFill>
      </fill>
    </dxf>
    <dxf>
      <border>
        <bottom style="thin">
          <color rgb="FF9C27B0"/>
        </bottom>
      </border>
    </dxf>
    <dxf>
      <font>
        <b/>
        <sz val="11"/>
        <color rgb="FF9C27B0"/>
      </font>
      <fill>
        <patternFill patternType="solid">
          <fgColor indexed="64"/>
          <bgColor rgb="FFF3E5F5"/>
        </patternFill>
      </fill>
      <alignment horizontal="center"/>
    </dxf>
    <dxf>
      <font>
        <sz val="10"/>
      </font>
      <fill>
        <patternFill patternType="solid">
          <fgColor indexed="64"/>
          <bgColor rgb="FFFFFFFF"/>
        </patternFill>
      </fill>
    </dxf>
    <dxf>
      <border>
        <bottom style="thin">
          <color rgb="FF9C27B0"/>
        </bottom>
      </border>
    </dxf>
    <dxf>
      <font>
        <b/>
        <sz val="11"/>
        <color rgb="FF9C27B0"/>
      </font>
      <fill>
        <patternFill patternType="solid">
          <fgColor indexed="64"/>
          <bgColor rgb="FFF3E5F5"/>
        </patternFill>
      </fill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A5A5A5"/>
      <rgbColor rgb="FF993366"/>
      <rgbColor rgb="FFF9F9F9"/>
      <rgbColor rgb="FFE8F0FE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99CCFF"/>
      <rgbColor rgb="FFFF99CC"/>
      <rgbColor rgb="FFCC99FF"/>
      <rgbColor rgb="FFFCE4EC"/>
      <rgbColor rgb="FF4472C4"/>
      <rgbColor rgb="FF5B9BD5"/>
      <rgbColor rgb="FF99CC00"/>
      <rgbColor rgb="FFFFC000"/>
      <rgbColor rgb="FFFF9900"/>
      <rgbColor rgb="FFED7D31"/>
      <rgbColor rgb="FF4F81BD"/>
      <rgbColor rgb="FF999999"/>
      <rgbColor rgb="FF1B3A5C"/>
      <rgbColor rgb="FF70AD47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💵 ¿Cuánto tendrás al final?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SIMULADOR!$A$52</c:f>
              <c:strCache>
                <c:ptCount val="1"/>
                <c:pt idx="0">
                  <c:v>Valor al final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SIMULADOR!$B$51:$F$51</c:f>
              <c:strCache>
                <c:ptCount val="5"/>
                <c:pt idx="0">
                  <c:v>Cuenta Ahorro</c:v>
                </c:pt>
                <c:pt idx="1">
                  <c:v>CDT 90 días</c:v>
                </c:pt>
                <c:pt idx="2">
                  <c:v>CDT 360 días</c:v>
                </c:pt>
                <c:pt idx="3">
                  <c:v>FPV Conservador</c:v>
                </c:pt>
                <c:pt idx="4">
                  <c:v>FPV Moderado</c:v>
                </c:pt>
              </c:strCache>
            </c:strRef>
          </c:cat>
          <c:val>
            <c:numRef>
              <c:f>SIMULADOR!$B$52:$F$52</c:f>
              <c:numCache>
                <c:formatCode>"$"#,##0</c:formatCode>
                <c:ptCount val="5"/>
                <c:pt idx="0">
                  <c:v>17289157.304534249</c:v>
                </c:pt>
                <c:pt idx="1">
                  <c:v>17499683.991418403</c:v>
                </c:pt>
                <c:pt idx="2">
                  <c:v>19186682.169899821</c:v>
                </c:pt>
                <c:pt idx="3">
                  <c:v>14196750.932090247</c:v>
                </c:pt>
                <c:pt idx="4">
                  <c:v>16414917.865775401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A-4830-AFCA-BB669B1FC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367759"/>
        <c:axId val="1426372079"/>
      </c:barChart>
      <c:catAx>
        <c:axId val="14263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372079"/>
        <c:crosses val="autoZero"/>
        <c:auto val="1"/>
        <c:lblAlgn val="ctr"/>
        <c:lblOffset val="100"/>
        <c:noMultiLvlLbl val="0"/>
      </c:catAx>
      <c:valAx>
        <c:axId val="142637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36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Crecimiento de tu inversión (10 años)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SIMULADOR!$B$35</c:f>
              <c:strCache>
                <c:ptCount val="1"/>
                <c:pt idx="0">
                  <c:v>Cuenta Ahorro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SIMULADOR!$B$36:$B$46</c:f>
              <c:numCache>
                <c:formatCode>"$"#,##0</c:formatCode>
                <c:ptCount val="11"/>
                <c:pt idx="0">
                  <c:v>10000000</c:v>
                </c:pt>
                <c:pt idx="1">
                  <c:v>11157188.361952148</c:v>
                </c:pt>
                <c:pt idx="2">
                  <c:v>12448285.214408046</c:v>
                </c:pt>
                <c:pt idx="3">
                  <c:v>13888786.292045446</c:v>
                </c:pt>
                <c:pt idx="4">
                  <c:v>15495980.477924997</c:v>
                </c:pt>
                <c:pt idx="5">
                  <c:v>17289157.304534249</c:v>
                </c:pt>
                <c:pt idx="6">
                  <c:v>19289838.466610946</c:v>
                </c:pt>
                <c:pt idx="7">
                  <c:v>21522036.124360856</c:v>
                </c:pt>
                <c:pt idx="8">
                  <c:v>24012541.097223267</c:v>
                </c:pt>
                <c:pt idx="9">
                  <c:v>26791244.407083709</c:v>
                </c:pt>
                <c:pt idx="10">
                  <c:v>29891496.030092992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C-4EB7-8ED3-0C151F34529B}"/>
            </c:ext>
          </c:extLst>
        </c:ser>
        <c:ser>
          <c:idx val="2"/>
          <c:order val="1"/>
          <c:tx>
            <c:strRef>
              <c:f>SIMULADOR!$C$35</c:f>
              <c:strCache>
                <c:ptCount val="1"/>
                <c:pt idx="0">
                  <c:v>CDT 90 días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SIMULADOR!$C$36:$C$46</c:f>
              <c:numCache>
                <c:formatCode>"$"#,##0</c:formatCode>
                <c:ptCount val="11"/>
                <c:pt idx="0">
                  <c:v>10000000</c:v>
                </c:pt>
                <c:pt idx="1">
                  <c:v>11184228.754623637</c:v>
                </c:pt>
                <c:pt idx="2">
                  <c:v>12508697.283575021</c:v>
                </c:pt>
                <c:pt idx="3">
                  <c:v>13990013.184184233</c:v>
                </c:pt>
                <c:pt idx="4">
                  <c:v>15646750.77321171</c:v>
                </c:pt>
                <c:pt idx="5">
                  <c:v>17499683.991418403</c:v>
                </c:pt>
                <c:pt idx="6">
                  <c:v>19572046.889364868</c:v>
                </c:pt>
                <c:pt idx="7">
                  <c:v>21889824.960687667</c:v>
                </c:pt>
                <c:pt idx="8">
                  <c:v>24482080.975900128</c:v>
                </c:pt>
                <c:pt idx="9">
                  <c:v>27381319.402368654</c:v>
                </c:pt>
                <c:pt idx="10">
                  <c:v>30623893.979950562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BC-4EB7-8ED3-0C151F34529B}"/>
            </c:ext>
          </c:extLst>
        </c:ser>
        <c:ser>
          <c:idx val="3"/>
          <c:order val="2"/>
          <c:tx>
            <c:strRef>
              <c:f>SIMULADOR!$D$35</c:f>
              <c:strCache>
                <c:ptCount val="1"/>
                <c:pt idx="0">
                  <c:v>CDT 360 días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SIMULADOR!$D$36:$D$46</c:f>
              <c:numCache>
                <c:formatCode>"$"#,##0</c:formatCode>
                <c:ptCount val="11"/>
                <c:pt idx="0">
                  <c:v>10000000</c:v>
                </c:pt>
                <c:pt idx="1">
                  <c:v>11392000</c:v>
                </c:pt>
                <c:pt idx="2">
                  <c:v>12977766.399999999</c:v>
                </c:pt>
                <c:pt idx="3">
                  <c:v>14784271.482879998</c:v>
                </c:pt>
                <c:pt idx="4">
                  <c:v>16842242.073296893</c:v>
                </c:pt>
                <c:pt idx="5">
                  <c:v>19186682.169899821</c:v>
                </c:pt>
                <c:pt idx="6">
                  <c:v>21857468.327949878</c:v>
                </c:pt>
                <c:pt idx="7">
                  <c:v>24900027.919200495</c:v>
                </c:pt>
                <c:pt idx="8">
                  <c:v>28366111.805553205</c:v>
                </c:pt>
                <c:pt idx="9">
                  <c:v>32314674.568886209</c:v>
                </c:pt>
                <c:pt idx="10">
                  <c:v>36812877.268875167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BC-4EB7-8ED3-0C151F34529B}"/>
            </c:ext>
          </c:extLst>
        </c:ser>
        <c:ser>
          <c:idx val="4"/>
          <c:order val="3"/>
          <c:tx>
            <c:strRef>
              <c:f>SIMULADOR!$E$35</c:f>
              <c:strCache>
                <c:ptCount val="1"/>
                <c:pt idx="0">
                  <c:v>FPV Conservador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SIMULADOR!$E$36:$E$46</c:f>
              <c:numCache>
                <c:formatCode>"$"#,##0</c:formatCode>
                <c:ptCount val="11"/>
                <c:pt idx="0">
                  <c:v>10000000</c:v>
                </c:pt>
                <c:pt idx="1">
                  <c:v>10726000</c:v>
                </c:pt>
                <c:pt idx="2">
                  <c:v>11504707.6</c:v>
                </c:pt>
                <c:pt idx="3">
                  <c:v>12339949.37176</c:v>
                </c:pt>
                <c:pt idx="4">
                  <c:v>13235829.696149774</c:v>
                </c:pt>
                <c:pt idx="5">
                  <c:v>14196750.932090247</c:v>
                </c:pt>
                <c:pt idx="6">
                  <c:v>15227435.049759999</c:v>
                </c:pt>
                <c:pt idx="7">
                  <c:v>16332946.834372574</c:v>
                </c:pt>
                <c:pt idx="8">
                  <c:v>17518718.774548024</c:v>
                </c:pt>
                <c:pt idx="9">
                  <c:v>18790577.75758021</c:v>
                </c:pt>
                <c:pt idx="10">
                  <c:v>20154773.702780534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BC-4EB7-8ED3-0C151F34529B}"/>
            </c:ext>
          </c:extLst>
        </c:ser>
        <c:ser>
          <c:idx val="5"/>
          <c:order val="4"/>
          <c:tx>
            <c:strRef>
              <c:f>SIMULADOR!$F$35</c:f>
              <c:strCache>
                <c:ptCount val="1"/>
                <c:pt idx="0">
                  <c:v>FPV Moderado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SIMULADOR!$F$36:$F$46</c:f>
              <c:numCache>
                <c:formatCode>"$"#,##0</c:formatCode>
                <c:ptCount val="11"/>
                <c:pt idx="0">
                  <c:v>10000000</c:v>
                </c:pt>
                <c:pt idx="1">
                  <c:v>11042000</c:v>
                </c:pt>
                <c:pt idx="2">
                  <c:v>12192576.400000002</c:v>
                </c:pt>
                <c:pt idx="3">
                  <c:v>13463042.860880004</c:v>
                </c:pt>
                <c:pt idx="4">
                  <c:v>14865891.926983699</c:v>
                </c:pt>
                <c:pt idx="5">
                  <c:v>16414917.865775401</c:v>
                </c:pt>
                <c:pt idx="6">
                  <c:v>18125352.3073892</c:v>
                </c:pt>
                <c:pt idx="7">
                  <c:v>20014014.017819159</c:v>
                </c:pt>
                <c:pt idx="8">
                  <c:v>22099474.278475914</c:v>
                </c:pt>
                <c:pt idx="9">
                  <c:v>24402239.498293102</c:v>
                </c:pt>
                <c:pt idx="10">
                  <c:v>26944952.854015246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BC-4EB7-8ED3-0C151F345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363439"/>
        <c:axId val="1426369199"/>
      </c:lineChart>
      <c:catAx>
        <c:axId val="1426363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369199"/>
        <c:crosses val="autoZero"/>
        <c:auto val="1"/>
        <c:lblAlgn val="ctr"/>
        <c:lblOffset val="100"/>
        <c:noMultiLvlLbl val="0"/>
      </c:catAx>
      <c:valAx>
        <c:axId val="142636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36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22680</xdr:rowOff>
    </xdr:from>
    <xdr:to>
      <xdr:col>5</xdr:col>
      <xdr:colOff>1522185</xdr:colOff>
      <xdr:row>65</xdr:row>
      <xdr:rowOff>57151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166B276-949C-4E6B-4DD4-F4B7AD767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66</xdr:row>
      <xdr:rowOff>60779</xdr:rowOff>
    </xdr:from>
    <xdr:to>
      <xdr:col>5</xdr:col>
      <xdr:colOff>1522185</xdr:colOff>
      <xdr:row>80</xdr:row>
      <xdr:rowOff>98879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7E9AA7C-6166-8661-1954-22D44E844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A9632EE9-D928-4811-ADCE-51948C1AAA65}" autoFormatId="16" applyNumberFormats="0" applyBorderFormats="0" applyFontFormats="0" applyPatternFormats="0" applyAlignmentFormats="0" applyWidthHeightFormats="0">
  <queryTableRefresh nextId="5">
    <queryTableFields count="4">
      <queryTableField id="1" name="nombreentidad" tableColumnId="1"/>
      <queryTableField id="2" name="descripcion" tableColumnId="2"/>
      <queryTableField id="3" name="tasa" tableColumnId="3"/>
      <queryTableField id="4" name="fechacor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B3FA93B-7638-4A9E-87A3-A5D31744A124}" autoFormatId="16" applyNumberFormats="0" applyBorderFormats="0" applyFontFormats="0" applyPatternFormats="0" applyAlignmentFormats="0" applyWidthHeightFormats="0">
  <queryTableRefresh nextId="6">
    <queryTableFields count="5">
      <queryTableField id="1" name="nombre_entidad" tableColumnId="1"/>
      <queryTableField id="2" name="nombre_patrimonio" tableColumnId="2"/>
      <queryTableField id="3" name="nombre_subtipo_patrimonio" tableColumnId="3"/>
      <queryTableField id="4" name="rentabilidad_360_dias" tableColumnId="4"/>
      <queryTableField id="5" name="fecha_cor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0B9ED1-F49B-4A2D-BCBA-80034EE18609}" name="CDT_Ahorro_Tasas" displayName="CDT_Ahorro_Tasas" ref="A2:D502" tableType="queryTable" totalsRowShown="0" headerRowDxfId="15" dataDxfId="13" headerRowBorderDxfId="14">
  <autoFilter ref="A2:D502" xr:uid="{CB0B9ED1-F49B-4A2D-BCBA-80034EE18609}"/>
  <tableColumns count="4">
    <tableColumn id="1" xr3:uid="{0529A390-667A-40A9-81B1-C915D9AC56F7}" uniqueName="1" name="nombreentidad" queryTableFieldId="1" dataDxfId="8"/>
    <tableColumn id="2" xr3:uid="{4F9D7342-9D19-40E5-BA20-CBF6B86CB40D}" uniqueName="2" name="descripcion" queryTableFieldId="2" dataDxfId="7"/>
    <tableColumn id="3" xr3:uid="{A5BF7ABC-17F4-4B27-B41A-697502C108D6}" uniqueName="3" name="tasa" queryTableFieldId="3" dataDxfId="6"/>
    <tableColumn id="4" xr3:uid="{431A55FF-5A80-4C53-8DBB-3F183E573696}" uniqueName="4" name="fechacorte" queryTableFieldId="4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E8B45E-81D7-4B83-8FAB-BE26300B54EF}" name="FPV_Fondos" displayName="FPV_Fondos" ref="A2:E502" tableType="queryTable" totalsRowShown="0" headerRowDxfId="18" dataDxfId="16" headerRowBorderDxfId="17">
  <autoFilter ref="A2:E502" xr:uid="{51E8B45E-81D7-4B83-8FAB-BE26300B54EF}"/>
  <tableColumns count="5">
    <tableColumn id="1" xr3:uid="{670AD96B-9337-4063-9C84-7EDDE8B3EA93}" uniqueName="1" name="nombre_entidad" queryTableFieldId="1" dataDxfId="4"/>
    <tableColumn id="2" xr3:uid="{00AE2E81-5F78-4E45-9E53-805DBBC95F07}" uniqueName="2" name="nombre_patrimonio" queryTableFieldId="2" dataDxfId="3"/>
    <tableColumn id="3" xr3:uid="{07E09BB4-5A55-4D7C-951A-B9B6FAA8BA6D}" uniqueName="3" name="nombre_subtipo_patrimonio" queryTableFieldId="3" dataDxfId="2"/>
    <tableColumn id="4" xr3:uid="{52D354DC-F197-49B6-ACA2-ADE7CB8A7B38}" uniqueName="4" name="rentabilidad_360_dias" queryTableFieldId="4" dataDxfId="1"/>
    <tableColumn id="5" xr3:uid="{77BE747E-CB89-4BBF-9104-8EC349044F7D}" uniqueName="5" name="fecha_corte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5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4CD11B-209F-453B-A537-0FAA34809E26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1C3B-57C6-450A-88E5-3BFD89D0CC28}">
  <sheetPr>
    <tabColor rgb="FF2E86AB"/>
  </sheetPr>
  <dimension ref="A1:D36"/>
  <sheetViews>
    <sheetView showGridLines="0" tabSelected="1" workbookViewId="0">
      <selection activeCell="C16" sqref="C16"/>
    </sheetView>
  </sheetViews>
  <sheetFormatPr baseColWidth="10" defaultRowHeight="14.6" x14ac:dyDescent="0.4"/>
  <cols>
    <col min="1" max="1" width="5.3828125" customWidth="1"/>
    <col min="2" max="3" width="62.84375" customWidth="1"/>
    <col min="4" max="4" width="5.3828125" customWidth="1"/>
    <col min="5" max="10" width="0" hidden="1" customWidth="1"/>
  </cols>
  <sheetData>
    <row r="1" spans="1:4" ht="6" customHeight="1" x14ac:dyDescent="0.4">
      <c r="A1" s="1"/>
      <c r="B1" s="1"/>
      <c r="C1" s="1"/>
      <c r="D1" s="1"/>
    </row>
    <row r="2" spans="1:4" ht="52" customHeight="1" x14ac:dyDescent="0.4">
      <c r="A2" s="93"/>
      <c r="B2" s="96" t="s">
        <v>0</v>
      </c>
      <c r="C2" s="94"/>
      <c r="D2" s="93"/>
    </row>
    <row r="3" spans="1:4" ht="22" customHeight="1" x14ac:dyDescent="0.45">
      <c r="B3" s="95" t="s">
        <v>365</v>
      </c>
      <c r="C3" s="43"/>
    </row>
    <row r="4" spans="1:4" ht="26.05" customHeight="1" x14ac:dyDescent="0.4">
      <c r="A4" s="1"/>
      <c r="B4" s="97" t="s">
        <v>366</v>
      </c>
      <c r="C4" s="45"/>
      <c r="D4" s="1"/>
    </row>
    <row r="5" spans="1:4" ht="4" customHeight="1" x14ac:dyDescent="0.4">
      <c r="A5" s="2"/>
      <c r="B5" s="2"/>
      <c r="C5" s="2"/>
      <c r="D5" s="2"/>
    </row>
    <row r="6" spans="1:4" ht="12" customHeight="1" x14ac:dyDescent="0.4"/>
    <row r="7" spans="1:4" ht="30" customHeight="1" x14ac:dyDescent="0.5">
      <c r="B7" s="98" t="s">
        <v>324</v>
      </c>
      <c r="C7" s="48"/>
    </row>
    <row r="8" spans="1:4" ht="24" customHeight="1" x14ac:dyDescent="0.45">
      <c r="B8" s="72" t="s">
        <v>325</v>
      </c>
      <c r="C8" s="73" t="s">
        <v>326</v>
      </c>
    </row>
    <row r="9" spans="1:4" ht="24" customHeight="1" x14ac:dyDescent="0.45">
      <c r="B9" s="9" t="s">
        <v>327</v>
      </c>
      <c r="C9" s="6" t="s">
        <v>328</v>
      </c>
    </row>
    <row r="10" spans="1:4" ht="24" customHeight="1" x14ac:dyDescent="0.45">
      <c r="B10" s="72" t="s">
        <v>329</v>
      </c>
      <c r="C10" s="73" t="s">
        <v>330</v>
      </c>
    </row>
    <row r="11" spans="1:4" ht="24" customHeight="1" x14ac:dyDescent="0.45">
      <c r="B11" s="9" t="s">
        <v>331</v>
      </c>
      <c r="C11" s="6" t="str">
        <f>"Datos de la Superintendencia Financiera de Colombia ("&amp;CHOOSE(VALUE(MID(_DATOS_API!D3,6,2)),"enero","febrero","marzo","abril","mayo","junio","julio","agosto","septiembre","octubre","noviembre","diciembre")&amp;" "&amp;LEFT(_DATOS_API!D3,4)&amp;")"</f>
        <v>Datos de la Superintendencia Financiera de Colombia (marzo 2026)</v>
      </c>
    </row>
    <row r="12" spans="1:4" ht="16" customHeight="1" x14ac:dyDescent="0.4"/>
    <row r="13" spans="1:4" ht="30" customHeight="1" x14ac:dyDescent="0.5">
      <c r="B13" s="99" t="s">
        <v>332</v>
      </c>
      <c r="C13" s="45"/>
    </row>
    <row r="14" spans="1:4" ht="44.05" customHeight="1" x14ac:dyDescent="0.5">
      <c r="B14" s="75" t="s">
        <v>333</v>
      </c>
      <c r="C14" s="74" t="s">
        <v>334</v>
      </c>
    </row>
    <row r="15" spans="1:4" ht="44.05" customHeight="1" x14ac:dyDescent="0.5">
      <c r="B15" s="77" t="s">
        <v>335</v>
      </c>
      <c r="C15" s="76" t="s">
        <v>336</v>
      </c>
    </row>
    <row r="16" spans="1:4" ht="44.05" customHeight="1" x14ac:dyDescent="0.5">
      <c r="B16" s="79" t="s">
        <v>337</v>
      </c>
      <c r="C16" s="78" t="str">
        <f>"Tasas CDT reales de bancos colombianos."&amp;CHAR(10)&amp;"Datos de la Superintendencia Financiera ("&amp;CHOOSE(VALUE(MID(_DATOS_API!D3,6,2)),"enero","febrero","marzo","abril","mayo","junio","julio","agosto","septiembre","octubre","noviembre","diciembre")&amp;" "&amp;LEFT(_DATOS_API!D3,4)&amp;")."</f>
        <v>Tasas CDT reales de bancos colombianos.
Datos de la Superintendencia Financiera (marzo 2026).</v>
      </c>
    </row>
    <row r="17" spans="2:3" ht="16" customHeight="1" x14ac:dyDescent="0.4"/>
    <row r="18" spans="2:3" ht="30" customHeight="1" x14ac:dyDescent="0.5">
      <c r="B18" s="99" t="s">
        <v>338</v>
      </c>
      <c r="C18" s="45"/>
    </row>
    <row r="19" spans="2:3" ht="36" customHeight="1" x14ac:dyDescent="0.4">
      <c r="B19" s="100" t="s">
        <v>339</v>
      </c>
      <c r="C19" s="81" t="s">
        <v>340</v>
      </c>
    </row>
    <row r="20" spans="2:3" ht="36" customHeight="1" x14ac:dyDescent="0.4">
      <c r="B20" s="101" t="s">
        <v>341</v>
      </c>
      <c r="C20" s="80" t="s">
        <v>342</v>
      </c>
    </row>
    <row r="21" spans="2:3" ht="36" customHeight="1" x14ac:dyDescent="0.4">
      <c r="B21" s="100" t="s">
        <v>343</v>
      </c>
      <c r="C21" s="81" t="s">
        <v>344</v>
      </c>
    </row>
    <row r="22" spans="2:3" ht="36" customHeight="1" x14ac:dyDescent="0.4">
      <c r="B22" s="101" t="s">
        <v>345</v>
      </c>
      <c r="C22" s="80" t="s">
        <v>346</v>
      </c>
    </row>
    <row r="23" spans="2:3" ht="36" customHeight="1" x14ac:dyDescent="0.4">
      <c r="B23" s="100" t="s">
        <v>347</v>
      </c>
      <c r="C23" s="81" t="s">
        <v>348</v>
      </c>
    </row>
    <row r="24" spans="2:3" ht="36" customHeight="1" x14ac:dyDescent="0.4">
      <c r="B24" s="101" t="s">
        <v>349</v>
      </c>
      <c r="C24" s="80" t="s">
        <v>350</v>
      </c>
    </row>
    <row r="25" spans="2:3" ht="16" customHeight="1" x14ac:dyDescent="0.4"/>
    <row r="26" spans="2:3" ht="30" customHeight="1" x14ac:dyDescent="0.5">
      <c r="B26" s="99" t="s">
        <v>351</v>
      </c>
      <c r="C26" s="45"/>
    </row>
    <row r="27" spans="2:3" ht="24" customHeight="1" x14ac:dyDescent="0.45">
      <c r="B27" s="82" t="s">
        <v>320</v>
      </c>
      <c r="C27" s="102" t="s">
        <v>352</v>
      </c>
    </row>
    <row r="28" spans="2:3" ht="24" customHeight="1" x14ac:dyDescent="0.45">
      <c r="B28" s="5" t="s">
        <v>353</v>
      </c>
      <c r="C28" s="103" t="s">
        <v>354</v>
      </c>
    </row>
    <row r="29" spans="2:3" ht="24" customHeight="1" x14ac:dyDescent="0.45">
      <c r="B29" s="82" t="s">
        <v>355</v>
      </c>
      <c r="C29" s="102" t="s">
        <v>356</v>
      </c>
    </row>
    <row r="30" spans="2:3" ht="24" customHeight="1" x14ac:dyDescent="0.45">
      <c r="B30" s="5" t="s">
        <v>357</v>
      </c>
      <c r="C30" s="103" t="s">
        <v>358</v>
      </c>
    </row>
    <row r="31" spans="2:3" ht="24" customHeight="1" x14ac:dyDescent="0.45">
      <c r="B31" s="82" t="s">
        <v>359</v>
      </c>
      <c r="C31" s="102" t="s">
        <v>360</v>
      </c>
    </row>
    <row r="32" spans="2:3" ht="24" customHeight="1" x14ac:dyDescent="0.45">
      <c r="B32" s="5" t="s">
        <v>361</v>
      </c>
      <c r="C32" s="103" t="s">
        <v>362</v>
      </c>
    </row>
    <row r="33" spans="1:4" ht="12" customHeight="1" x14ac:dyDescent="0.4"/>
    <row r="34" spans="1:4" x14ac:dyDescent="0.4">
      <c r="B34" s="83" t="s">
        <v>363</v>
      </c>
      <c r="C34" s="43"/>
    </row>
    <row r="35" spans="1:4" x14ac:dyDescent="0.4">
      <c r="B35" s="84" t="s">
        <v>364</v>
      </c>
      <c r="C35" s="43"/>
    </row>
    <row r="36" spans="1:4" ht="6" customHeight="1" x14ac:dyDescent="0.4">
      <c r="A36" s="1"/>
      <c r="B36" s="1"/>
      <c r="C36" s="1"/>
      <c r="D36" s="1"/>
    </row>
  </sheetData>
  <mergeCells count="9">
    <mergeCell ref="B26:C26"/>
    <mergeCell ref="B34:C34"/>
    <mergeCell ref="B35:C35"/>
    <mergeCell ref="B2:C2"/>
    <mergeCell ref="B3:C3"/>
    <mergeCell ref="B4:C4"/>
    <mergeCell ref="B7:C7"/>
    <mergeCell ref="B13:C13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800"/>
  </sheetPr>
  <dimension ref="A1:M80"/>
  <sheetViews>
    <sheetView showGridLines="0" zoomScale="80" zoomScaleNormal="80" workbookViewId="0">
      <pane ySplit="2" topLeftCell="A9" activePane="bottomLeft" state="frozen"/>
      <selection pane="bottomLeft" activeCell="B6" sqref="B6"/>
    </sheetView>
  </sheetViews>
  <sheetFormatPr baseColWidth="10" defaultRowHeight="14.6" x14ac:dyDescent="0.4"/>
  <cols>
    <col min="1" max="1" width="42.15234375" style="4" customWidth="1"/>
    <col min="2" max="6" width="21.53515625" style="4" customWidth="1"/>
  </cols>
  <sheetData>
    <row r="1" spans="1:6" ht="38.049999999999997" customHeight="1" x14ac:dyDescent="0.7">
      <c r="A1" s="44" t="s">
        <v>0</v>
      </c>
      <c r="B1" s="44"/>
      <c r="C1" s="44"/>
      <c r="D1" s="44"/>
      <c r="E1" s="44"/>
      <c r="F1" s="44"/>
    </row>
    <row r="2" spans="1:6" ht="28.1" customHeight="1" x14ac:dyDescent="0.4">
      <c r="A2" s="46" t="s">
        <v>1</v>
      </c>
      <c r="B2" s="46"/>
      <c r="C2" s="46"/>
      <c r="D2" s="46"/>
      <c r="E2" s="46"/>
      <c r="F2" s="46"/>
    </row>
    <row r="3" spans="1:6" ht="26.05" customHeight="1" x14ac:dyDescent="0.45">
      <c r="A3" s="47" t="s">
        <v>2</v>
      </c>
      <c r="B3" s="47"/>
      <c r="C3" s="47"/>
      <c r="D3" s="47"/>
      <c r="E3" s="47"/>
      <c r="F3" s="47"/>
    </row>
    <row r="4" spans="1:6" ht="22" customHeight="1" x14ac:dyDescent="0.45">
      <c r="A4" s="5" t="s">
        <v>3</v>
      </c>
      <c r="B4" s="41">
        <v>10000000</v>
      </c>
      <c r="C4" s="59" t="s">
        <v>4</v>
      </c>
      <c r="D4" s="43"/>
      <c r="E4" s="43"/>
      <c r="F4" s="43"/>
    </row>
    <row r="5" spans="1:6" ht="22" customHeight="1" x14ac:dyDescent="0.45">
      <c r="A5" s="5" t="s">
        <v>5</v>
      </c>
      <c r="B5" s="61">
        <v>5</v>
      </c>
      <c r="C5" s="59" t="s">
        <v>6</v>
      </c>
      <c r="D5" s="43"/>
      <c r="E5" s="43"/>
      <c r="F5" s="43"/>
    </row>
    <row r="6" spans="1:6" ht="22" customHeight="1" x14ac:dyDescent="0.45">
      <c r="A6" s="5" t="s">
        <v>7</v>
      </c>
      <c r="B6" s="62">
        <v>5.0999999999999997E-2</v>
      </c>
      <c r="C6" s="59" t="s">
        <v>8</v>
      </c>
      <c r="D6" s="43"/>
      <c r="E6" s="43"/>
      <c r="F6" s="43"/>
    </row>
    <row r="7" spans="1:6" ht="22" customHeight="1" x14ac:dyDescent="0.45">
      <c r="A7" s="5" t="s">
        <v>9</v>
      </c>
      <c r="B7" s="63">
        <v>0.04</v>
      </c>
      <c r="C7" s="59" t="s">
        <v>10</v>
      </c>
      <c r="D7" s="43"/>
      <c r="E7" s="43"/>
      <c r="F7" s="43"/>
    </row>
    <row r="8" spans="1:6" ht="8.0500000000000007" customHeight="1" x14ac:dyDescent="0.4">
      <c r="A8"/>
      <c r="B8"/>
      <c r="C8"/>
      <c r="D8"/>
      <c r="E8"/>
      <c r="F8"/>
    </row>
    <row r="9" spans="1:6" ht="26.05" customHeight="1" x14ac:dyDescent="0.45">
      <c r="A9" s="50" t="s">
        <v>11</v>
      </c>
      <c r="B9" s="50"/>
      <c r="C9" s="50"/>
      <c r="D9" s="50"/>
      <c r="E9" s="50"/>
      <c r="F9" s="50"/>
    </row>
    <row r="10" spans="1:6" ht="4" customHeight="1" x14ac:dyDescent="0.4">
      <c r="A10"/>
      <c r="B10"/>
      <c r="C10"/>
      <c r="D10"/>
      <c r="E10"/>
      <c r="F10"/>
    </row>
    <row r="11" spans="1:6" ht="36" customHeight="1" x14ac:dyDescent="0.4">
      <c r="A11"/>
      <c r="B11" s="52" t="s">
        <v>12</v>
      </c>
      <c r="C11" s="52" t="s">
        <v>13</v>
      </c>
      <c r="D11" s="52" t="s">
        <v>14</v>
      </c>
      <c r="E11" s="52" t="s">
        <v>15</v>
      </c>
      <c r="F11" s="52" t="s">
        <v>16</v>
      </c>
    </row>
    <row r="12" spans="1:6" ht="20.05" customHeight="1" x14ac:dyDescent="0.4">
      <c r="A12" s="6" t="s">
        <v>17</v>
      </c>
      <c r="B12" s="51">
        <f>'TASAS EN VIVO'!C6</f>
        <v>0.11</v>
      </c>
      <c r="C12" s="51">
        <f>'TASAS EN VIVO'!C7</f>
        <v>0.11349999999999999</v>
      </c>
      <c r="D12" s="51">
        <f>'TASAS EN VIVO'!C8</f>
        <v>0.13919999999999999</v>
      </c>
      <c r="E12" s="51">
        <f>'TASAS EN VIVO'!C9</f>
        <v>7.2599999999999998E-2</v>
      </c>
      <c r="F12" s="51">
        <f>'TASAS EN VIVO'!C10</f>
        <v>0.1042</v>
      </c>
    </row>
    <row r="13" spans="1:6" ht="20.05" customHeight="1" x14ac:dyDescent="0.4">
      <c r="A13" s="6" t="s">
        <v>18</v>
      </c>
      <c r="B13" s="53" t="s">
        <v>19</v>
      </c>
      <c r="C13" s="53" t="s">
        <v>20</v>
      </c>
      <c r="D13" s="53" t="s">
        <v>21</v>
      </c>
      <c r="E13" s="53" t="s">
        <v>21</v>
      </c>
      <c r="F13" s="53" t="s">
        <v>21</v>
      </c>
    </row>
    <row r="14" spans="1:6" ht="26.05" hidden="1" customHeight="1" x14ac:dyDescent="0.4">
      <c r="A14"/>
      <c r="B14">
        <v>12</v>
      </c>
      <c r="C14">
        <v>4</v>
      </c>
      <c r="D14">
        <v>1</v>
      </c>
      <c r="E14">
        <v>1</v>
      </c>
      <c r="F14">
        <v>1</v>
      </c>
    </row>
    <row r="15" spans="1:6" ht="24" hidden="1" customHeight="1" x14ac:dyDescent="0.4">
      <c r="A15"/>
      <c r="B15">
        <f>(1+B12/B14)^B14-1</f>
        <v>0.11571883619521484</v>
      </c>
      <c r="C15">
        <f>(1+C12/C14)^C14-1</f>
        <v>0.11842287546236374</v>
      </c>
      <c r="D15">
        <f>(1+D12/D14)^D14-1</f>
        <v>0.13919999999999999</v>
      </c>
      <c r="E15">
        <f>(1+E12/E14)^E14-1</f>
        <v>7.2599999999999998E-2</v>
      </c>
      <c r="F15">
        <f>(1+F12/F14)^F14-1</f>
        <v>0.10420000000000007</v>
      </c>
    </row>
    <row r="16" spans="1:6" ht="6" customHeight="1" x14ac:dyDescent="0.4">
      <c r="A16"/>
      <c r="B16"/>
      <c r="C16"/>
      <c r="D16"/>
      <c r="E16"/>
      <c r="F16"/>
    </row>
    <row r="17" spans="1:6" ht="22" customHeight="1" x14ac:dyDescent="0.45">
      <c r="A17" s="7" t="s">
        <v>22</v>
      </c>
      <c r="B17" s="35">
        <f>$B$4*(1+B15)^$B$5</f>
        <v>17289157.304534249</v>
      </c>
      <c r="C17" s="35">
        <f>$B$4*(1+C15)^$B$5</f>
        <v>17499683.991418403</v>
      </c>
      <c r="D17" s="35">
        <f>$B$4*(1+D15)^$B$5</f>
        <v>19186682.169899821</v>
      </c>
      <c r="E17" s="35">
        <f>$B$4*(1+E15)^$B$5</f>
        <v>14196750.932090247</v>
      </c>
      <c r="F17" s="35">
        <f>$B$4*(1+F15)^$B$5</f>
        <v>16414917.865775401</v>
      </c>
    </row>
    <row r="18" spans="1:6" ht="22" customHeight="1" x14ac:dyDescent="0.4">
      <c r="A18" t="s">
        <v>23</v>
      </c>
      <c r="B18" s="36">
        <f>B17-$B$4</f>
        <v>7289157.304534249</v>
      </c>
      <c r="C18" s="36">
        <f>C17-$B$4</f>
        <v>7499683.9914184026</v>
      </c>
      <c r="D18" s="36">
        <f>D17-$B$4</f>
        <v>9186682.1698998213</v>
      </c>
      <c r="E18" s="36">
        <f>E17-$B$4</f>
        <v>4196750.932090247</v>
      </c>
      <c r="F18" s="36">
        <f>F17-$B$4</f>
        <v>6414917.8657754008</v>
      </c>
    </row>
    <row r="19" spans="1:6" ht="22" customHeight="1" x14ac:dyDescent="0.4">
      <c r="A19" t="s">
        <v>24</v>
      </c>
      <c r="B19" s="36">
        <f>B18*$B$7</f>
        <v>291566.29218136996</v>
      </c>
      <c r="C19" s="36">
        <f>C18*$B$7</f>
        <v>299987.35965673614</v>
      </c>
      <c r="D19" s="36">
        <f>D18*$B$7</f>
        <v>367467.28679599287</v>
      </c>
      <c r="E19" s="36">
        <f>E18*$B$7</f>
        <v>167870.03728360988</v>
      </c>
      <c r="F19" s="36">
        <f>F18*$B$7</f>
        <v>256596.71463101605</v>
      </c>
    </row>
    <row r="20" spans="1:6" ht="22" customHeight="1" x14ac:dyDescent="0.4">
      <c r="A20" s="7" t="s">
        <v>25</v>
      </c>
      <c r="B20" s="37">
        <f>B17-B19</f>
        <v>16997591.01235288</v>
      </c>
      <c r="C20" s="37">
        <f>C17-C19</f>
        <v>17199696.631761666</v>
      </c>
      <c r="D20" s="37">
        <f>D17-D19</f>
        <v>18819214.883103829</v>
      </c>
      <c r="E20" s="37">
        <f>E17-E19</f>
        <v>14028880.894806636</v>
      </c>
      <c r="F20" s="37">
        <f>F17-F19</f>
        <v>16158321.151144385</v>
      </c>
    </row>
    <row r="21" spans="1:6" ht="22" customHeight="1" x14ac:dyDescent="0.4">
      <c r="A21" s="8" t="s">
        <v>26</v>
      </c>
      <c r="B21" s="38">
        <f>B20/(1+$B$6)^$B$5</f>
        <v>13254818.800673991</v>
      </c>
      <c r="C21" s="38">
        <f>C20/(1+$B$6)^$B$5</f>
        <v>13412421.919958048</v>
      </c>
      <c r="D21" s="38">
        <f>D20/(1+$B$6)^$B$5</f>
        <v>14675331.525814794</v>
      </c>
      <c r="E21" s="38">
        <f>E20/(1+$B$6)^$B$5</f>
        <v>10939801.651996516</v>
      </c>
      <c r="F21" s="38">
        <f>F20/(1+$B$6)^$B$5</f>
        <v>12600351.357193274</v>
      </c>
    </row>
    <row r="22" spans="1:6" ht="22" customHeight="1" x14ac:dyDescent="0.4">
      <c r="A22" s="8" t="s">
        <v>27</v>
      </c>
      <c r="B22" s="38">
        <f>B21-$B$4</f>
        <v>3254818.8006739914</v>
      </c>
      <c r="C22" s="38">
        <f>C21-$B$4</f>
        <v>3412421.9199580476</v>
      </c>
      <c r="D22" s="38">
        <f>D21-$B$4</f>
        <v>4675331.525814794</v>
      </c>
      <c r="E22" s="38">
        <f>E21-$B$4</f>
        <v>939801.65199651569</v>
      </c>
      <c r="F22" s="38">
        <f>F21-$B$4</f>
        <v>2600351.3571932744</v>
      </c>
    </row>
    <row r="23" spans="1:6" ht="22" customHeight="1" x14ac:dyDescent="0.45">
      <c r="A23" s="10" t="s">
        <v>28</v>
      </c>
      <c r="B23" s="30">
        <f>B22/$B$4</f>
        <v>0.32548188006739914</v>
      </c>
      <c r="C23" s="30">
        <f>C22/$B$4</f>
        <v>0.34124219199580474</v>
      </c>
      <c r="D23" s="30">
        <f>D22/$B$4</f>
        <v>0.46753315258147943</v>
      </c>
      <c r="E23" s="30">
        <f>E22/$B$4</f>
        <v>9.3980165199651564E-2</v>
      </c>
      <c r="F23" s="30">
        <f>F22/$B$4</f>
        <v>0.26003513571932746</v>
      </c>
    </row>
    <row r="24" spans="1:6" ht="22" customHeight="1" x14ac:dyDescent="0.55000000000000004">
      <c r="A24" s="11" t="s">
        <v>29</v>
      </c>
      <c r="B24" s="12" t="str">
        <f>RANK(B22,$B$22:$F$22)&amp;"°"</f>
        <v>3°</v>
      </c>
      <c r="C24" s="12" t="str">
        <f>RANK(C22,$B$22:$F$22)&amp;"°"</f>
        <v>2°</v>
      </c>
      <c r="D24" s="12" t="str">
        <f>RANK(D22,$B$22:$F$22)&amp;"°"</f>
        <v>1°</v>
      </c>
      <c r="E24" s="12" t="str">
        <f>RANK(E22,$B$22:$F$22)&amp;"°"</f>
        <v>5°</v>
      </c>
      <c r="F24" s="12" t="str">
        <f>RANK(F22,$B$22:$F$22)&amp;"°"</f>
        <v>4°</v>
      </c>
    </row>
    <row r="25" spans="1:6" ht="8.0500000000000007" customHeight="1" x14ac:dyDescent="0.4">
      <c r="A25"/>
      <c r="B25"/>
      <c r="C25"/>
      <c r="D25"/>
      <c r="E25"/>
      <c r="F25"/>
    </row>
    <row r="26" spans="1:6" ht="26.05" customHeight="1" x14ac:dyDescent="0.45">
      <c r="A26" s="54" t="s">
        <v>30</v>
      </c>
      <c r="B26" s="54"/>
      <c r="C26" s="54"/>
      <c r="D26" s="54"/>
      <c r="E26" s="54"/>
      <c r="F26" s="54"/>
    </row>
    <row r="27" spans="1:6" ht="4" customHeight="1" x14ac:dyDescent="0.4">
      <c r="A27"/>
      <c r="B27"/>
      <c r="C27"/>
      <c r="D27"/>
      <c r="E27"/>
      <c r="F27"/>
    </row>
    <row r="28" spans="1:6" ht="28" customHeight="1" x14ac:dyDescent="0.55000000000000004">
      <c r="A28" s="13" t="s">
        <v>31</v>
      </c>
      <c r="B28" s="15" t="str">
        <f>IF(MAX(B22:F22)=B22,B11,IF(MAX(B22:F22)=C22,C11,IF(MAX(B22:F22)=D22,D11,IF(MAX(B22:F22)=E22,E11,F11))))</f>
        <v>📄 CDT
360 días</v>
      </c>
      <c r="C28" s="14"/>
      <c r="D28" s="14"/>
      <c r="E28" s="14"/>
      <c r="F28" s="14"/>
    </row>
    <row r="29" spans="1:6" ht="24" customHeight="1" x14ac:dyDescent="0.55000000000000004">
      <c r="A29" s="9" t="s">
        <v>32</v>
      </c>
      <c r="B29" s="31">
        <f>MAX(B20:F20)</f>
        <v>18819214.883103829</v>
      </c>
      <c r="C29" s="60" t="s">
        <v>33</v>
      </c>
      <c r="D29" s="60"/>
      <c r="E29" s="60"/>
      <c r="F29" s="60"/>
    </row>
    <row r="30" spans="1:6" ht="24" customHeight="1" x14ac:dyDescent="0.55000000000000004">
      <c r="A30" s="9" t="s">
        <v>34</v>
      </c>
      <c r="B30" s="31">
        <f>MAX(B22:F22)</f>
        <v>4675331.525814794</v>
      </c>
      <c r="C30" s="60" t="s">
        <v>35</v>
      </c>
      <c r="D30" s="60"/>
      <c r="E30" s="60"/>
      <c r="F30" s="60"/>
    </row>
    <row r="31" spans="1:6" ht="24" customHeight="1" x14ac:dyDescent="0.55000000000000004">
      <c r="A31" s="9" t="s">
        <v>36</v>
      </c>
      <c r="B31" s="32">
        <f>MAX(B23:F23)</f>
        <v>0.46753315258147943</v>
      </c>
      <c r="C31"/>
      <c r="D31"/>
      <c r="E31"/>
      <c r="F31"/>
    </row>
    <row r="32" spans="1:6" ht="24" customHeight="1" x14ac:dyDescent="0.55000000000000004">
      <c r="A32" s="9" t="s">
        <v>37</v>
      </c>
      <c r="B32" s="16" t="str">
        <f>ROUND(LN(2)/LN(1+IF(MAX(B22:F22)=B22,B15,IF(MAX(B22:F22)=C22,C15,IF(MAX(B22:F22)=D22,D15,IF(MAX(B22:F22)=E22,E15,F15))))),1)&amp;" años"</f>
        <v>5.3 años</v>
      </c>
      <c r="C32"/>
      <c r="D32"/>
      <c r="E32"/>
      <c r="F32"/>
    </row>
    <row r="33" spans="1:6" ht="8.0500000000000007" customHeight="1" x14ac:dyDescent="0.4">
      <c r="A33"/>
      <c r="B33"/>
      <c r="C33"/>
      <c r="D33"/>
      <c r="E33"/>
      <c r="F33"/>
    </row>
    <row r="34" spans="1:6" ht="26.05" customHeight="1" x14ac:dyDescent="0.45">
      <c r="A34" s="50" t="s">
        <v>38</v>
      </c>
      <c r="B34" s="50"/>
      <c r="C34" s="50"/>
      <c r="D34" s="50"/>
      <c r="E34" s="50"/>
      <c r="F34" s="50"/>
    </row>
    <row r="35" spans="1:6" ht="20.05" customHeight="1" x14ac:dyDescent="0.4">
      <c r="A35" s="22" t="s">
        <v>39</v>
      </c>
      <c r="B35" s="22" t="s">
        <v>40</v>
      </c>
      <c r="C35" s="22" t="s">
        <v>41</v>
      </c>
      <c r="D35" s="22" t="s">
        <v>42</v>
      </c>
      <c r="E35" s="22" t="s">
        <v>43</v>
      </c>
      <c r="F35" s="22" t="s">
        <v>44</v>
      </c>
    </row>
    <row r="36" spans="1:6" ht="20.05" customHeight="1" x14ac:dyDescent="0.4">
      <c r="A36" s="23">
        <v>0</v>
      </c>
      <c r="B36" s="57">
        <f>$B$4*(1+B$15)^0</f>
        <v>10000000</v>
      </c>
      <c r="C36" s="57">
        <f>$B$4*(1+C$15)^0</f>
        <v>10000000</v>
      </c>
      <c r="D36" s="57">
        <f>$B$4*(1+D$15)^0</f>
        <v>10000000</v>
      </c>
      <c r="E36" s="57">
        <f>$B$4*(1+E$15)^0</f>
        <v>10000000</v>
      </c>
      <c r="F36" s="57">
        <f>$B$4*(1+F$15)^0</f>
        <v>10000000</v>
      </c>
    </row>
    <row r="37" spans="1:6" ht="20.05" customHeight="1" x14ac:dyDescent="0.4">
      <c r="A37" s="56">
        <v>1</v>
      </c>
      <c r="B37" s="58">
        <f>$B$4*(1+B$15)^1</f>
        <v>11157188.361952148</v>
      </c>
      <c r="C37" s="58">
        <f>$B$4*(1+C$15)^1</f>
        <v>11184228.754623637</v>
      </c>
      <c r="D37" s="58">
        <f>$B$4*(1+D$15)^1</f>
        <v>11392000</v>
      </c>
      <c r="E37" s="58">
        <f>$B$4*(1+E$15)^1</f>
        <v>10726000</v>
      </c>
      <c r="F37" s="58">
        <f>$B$4*(1+F$15)^1</f>
        <v>11042000</v>
      </c>
    </row>
    <row r="38" spans="1:6" ht="20.05" customHeight="1" x14ac:dyDescent="0.4">
      <c r="A38" s="23">
        <v>2</v>
      </c>
      <c r="B38" s="57">
        <f>$B$4*(1+B$15)^2</f>
        <v>12448285.214408046</v>
      </c>
      <c r="C38" s="57">
        <f>$B$4*(1+C$15)^2</f>
        <v>12508697.283575021</v>
      </c>
      <c r="D38" s="57">
        <f>$B$4*(1+D$15)^2</f>
        <v>12977766.399999999</v>
      </c>
      <c r="E38" s="57">
        <f>$B$4*(1+E$15)^2</f>
        <v>11504707.6</v>
      </c>
      <c r="F38" s="57">
        <f>$B$4*(1+F$15)^2</f>
        <v>12192576.400000002</v>
      </c>
    </row>
    <row r="39" spans="1:6" ht="20.05" customHeight="1" x14ac:dyDescent="0.4">
      <c r="A39" s="56">
        <v>3</v>
      </c>
      <c r="B39" s="58">
        <f>$B$4*(1+B$15)^3</f>
        <v>13888786.292045446</v>
      </c>
      <c r="C39" s="58">
        <f>$B$4*(1+C$15)^3</f>
        <v>13990013.184184233</v>
      </c>
      <c r="D39" s="58">
        <f>$B$4*(1+D$15)^3</f>
        <v>14784271.482879998</v>
      </c>
      <c r="E39" s="58">
        <f>$B$4*(1+E$15)^3</f>
        <v>12339949.37176</v>
      </c>
      <c r="F39" s="58">
        <f>$B$4*(1+F$15)^3</f>
        <v>13463042.860880004</v>
      </c>
    </row>
    <row r="40" spans="1:6" ht="20.05" customHeight="1" x14ac:dyDescent="0.4">
      <c r="A40" s="23">
        <v>4</v>
      </c>
      <c r="B40" s="57">
        <f>$B$4*(1+B$15)^4</f>
        <v>15495980.477924997</v>
      </c>
      <c r="C40" s="57">
        <f>$B$4*(1+C$15)^4</f>
        <v>15646750.77321171</v>
      </c>
      <c r="D40" s="57">
        <f>$B$4*(1+D$15)^4</f>
        <v>16842242.073296893</v>
      </c>
      <c r="E40" s="57">
        <f>$B$4*(1+E$15)^4</f>
        <v>13235829.696149774</v>
      </c>
      <c r="F40" s="57">
        <f>$B$4*(1+F$15)^4</f>
        <v>14865891.926983699</v>
      </c>
    </row>
    <row r="41" spans="1:6" ht="20.05" customHeight="1" x14ac:dyDescent="0.4">
      <c r="A41" s="56">
        <v>5</v>
      </c>
      <c r="B41" s="58">
        <f>$B$4*(1+B$15)^5</f>
        <v>17289157.304534249</v>
      </c>
      <c r="C41" s="58">
        <f>$B$4*(1+C$15)^5</f>
        <v>17499683.991418403</v>
      </c>
      <c r="D41" s="58">
        <f>$B$4*(1+D$15)^5</f>
        <v>19186682.169899821</v>
      </c>
      <c r="E41" s="58">
        <f>$B$4*(1+E$15)^5</f>
        <v>14196750.932090247</v>
      </c>
      <c r="F41" s="58">
        <f>$B$4*(1+F$15)^5</f>
        <v>16414917.865775401</v>
      </c>
    </row>
    <row r="42" spans="1:6" ht="20.05" customHeight="1" x14ac:dyDescent="0.4">
      <c r="A42" s="23">
        <v>6</v>
      </c>
      <c r="B42" s="57">
        <f>$B$4*(1+B$15)^6</f>
        <v>19289838.466610946</v>
      </c>
      <c r="C42" s="57">
        <f>$B$4*(1+C$15)^6</f>
        <v>19572046.889364868</v>
      </c>
      <c r="D42" s="57">
        <f>$B$4*(1+D$15)^6</f>
        <v>21857468.327949878</v>
      </c>
      <c r="E42" s="57">
        <f>$B$4*(1+E$15)^6</f>
        <v>15227435.049759999</v>
      </c>
      <c r="F42" s="57">
        <f>$B$4*(1+F$15)^6</f>
        <v>18125352.3073892</v>
      </c>
    </row>
    <row r="43" spans="1:6" ht="20.05" customHeight="1" x14ac:dyDescent="0.4">
      <c r="A43" s="56">
        <v>7</v>
      </c>
      <c r="B43" s="58">
        <f>$B$4*(1+B$15)^7</f>
        <v>21522036.124360856</v>
      </c>
      <c r="C43" s="58">
        <f>$B$4*(1+C$15)^7</f>
        <v>21889824.960687667</v>
      </c>
      <c r="D43" s="58">
        <f>$B$4*(1+D$15)^7</f>
        <v>24900027.919200495</v>
      </c>
      <c r="E43" s="58">
        <f>$B$4*(1+E$15)^7</f>
        <v>16332946.834372574</v>
      </c>
      <c r="F43" s="58">
        <f>$B$4*(1+F$15)^7</f>
        <v>20014014.017819159</v>
      </c>
    </row>
    <row r="44" spans="1:6" ht="20.05" customHeight="1" x14ac:dyDescent="0.4">
      <c r="A44" s="23">
        <v>8</v>
      </c>
      <c r="B44" s="57">
        <f>$B$4*(1+B$15)^8</f>
        <v>24012541.097223267</v>
      </c>
      <c r="C44" s="57">
        <f>$B$4*(1+C$15)^8</f>
        <v>24482080.975900128</v>
      </c>
      <c r="D44" s="57">
        <f>$B$4*(1+D$15)^8</f>
        <v>28366111.805553205</v>
      </c>
      <c r="E44" s="57">
        <f>$B$4*(1+E$15)^8</f>
        <v>17518718.774548024</v>
      </c>
      <c r="F44" s="57">
        <f>$B$4*(1+F$15)^8</f>
        <v>22099474.278475914</v>
      </c>
    </row>
    <row r="45" spans="1:6" ht="20.05" customHeight="1" x14ac:dyDescent="0.4">
      <c r="A45" s="56">
        <v>9</v>
      </c>
      <c r="B45" s="58">
        <f>$B$4*(1+B$15)^9</f>
        <v>26791244.407083709</v>
      </c>
      <c r="C45" s="58">
        <f>$B$4*(1+C$15)^9</f>
        <v>27381319.402368654</v>
      </c>
      <c r="D45" s="58">
        <f>$B$4*(1+D$15)^9</f>
        <v>32314674.568886209</v>
      </c>
      <c r="E45" s="58">
        <f>$B$4*(1+E$15)^9</f>
        <v>18790577.75758021</v>
      </c>
      <c r="F45" s="58">
        <f>$B$4*(1+F$15)^9</f>
        <v>24402239.498293102</v>
      </c>
    </row>
    <row r="46" spans="1:6" ht="20.05" customHeight="1" x14ac:dyDescent="0.4">
      <c r="A46" s="23">
        <v>10</v>
      </c>
      <c r="B46" s="57">
        <f>$B$4*(1+B$15)^10</f>
        <v>29891496.030092992</v>
      </c>
      <c r="C46" s="57">
        <f>$B$4*(1+C$15)^10</f>
        <v>30623893.979950562</v>
      </c>
      <c r="D46" s="57">
        <f>$B$4*(1+D$15)^10</f>
        <v>36812877.268875167</v>
      </c>
      <c r="E46" s="57">
        <f>$B$4*(1+E$15)^10</f>
        <v>20154773.702780534</v>
      </c>
      <c r="F46" s="57">
        <f>$B$4*(1+F$15)^10</f>
        <v>26944952.854015246</v>
      </c>
    </row>
    <row r="47" spans="1:6" x14ac:dyDescent="0.4">
      <c r="A47"/>
      <c r="B47"/>
      <c r="C47"/>
      <c r="D47"/>
      <c r="E47"/>
      <c r="F47"/>
    </row>
    <row r="48" spans="1:6" hidden="1" x14ac:dyDescent="0.4">
      <c r="A48"/>
      <c r="B48" t="s">
        <v>40</v>
      </c>
      <c r="C48" t="s">
        <v>41</v>
      </c>
      <c r="D48" t="s">
        <v>42</v>
      </c>
      <c r="E48" t="s">
        <v>43</v>
      </c>
      <c r="F48" t="s">
        <v>44</v>
      </c>
    </row>
    <row r="49" spans="1:6" hidden="1" x14ac:dyDescent="0.4">
      <c r="A49" t="s">
        <v>321</v>
      </c>
      <c r="B49" s="49">
        <f>B17</f>
        <v>17289157.304534249</v>
      </c>
      <c r="C49" s="49">
        <f>C17</f>
        <v>17499683.991418403</v>
      </c>
      <c r="D49" s="49">
        <f>D17</f>
        <v>19186682.169899821</v>
      </c>
      <c r="E49" s="49">
        <f>E17</f>
        <v>14196750.932090247</v>
      </c>
      <c r="F49" s="49">
        <f>F17</f>
        <v>16414917.865775401</v>
      </c>
    </row>
    <row r="50" spans="1:6" hidden="1" x14ac:dyDescent="0.4">
      <c r="A50" t="s">
        <v>322</v>
      </c>
      <c r="B50" s="49">
        <f>B22</f>
        <v>3254818.8006739914</v>
      </c>
      <c r="C50" s="49">
        <f>C22</f>
        <v>3412421.9199580476</v>
      </c>
      <c r="D50" s="49">
        <f>D22</f>
        <v>4675331.525814794</v>
      </c>
      <c r="E50" s="49">
        <f>E22</f>
        <v>939801.65199651569</v>
      </c>
      <c r="F50" s="49">
        <f>F22</f>
        <v>2600351.3571932744</v>
      </c>
    </row>
    <row r="51" spans="1:6" ht="1" customHeight="1" x14ac:dyDescent="0.4">
      <c r="A51"/>
      <c r="B51" t="s">
        <v>40</v>
      </c>
      <c r="C51" t="s">
        <v>41</v>
      </c>
      <c r="D51" t="s">
        <v>42</v>
      </c>
      <c r="E51" t="s">
        <v>43</v>
      </c>
      <c r="F51" t="s">
        <v>44</v>
      </c>
    </row>
    <row r="52" spans="1:6" ht="1" customHeight="1" x14ac:dyDescent="0.4">
      <c r="A52" t="s">
        <v>323</v>
      </c>
      <c r="B52" s="49">
        <f>B17</f>
        <v>17289157.304534249</v>
      </c>
      <c r="C52" s="49">
        <f>C17</f>
        <v>17499683.991418403</v>
      </c>
      <c r="D52" s="49">
        <f>D17</f>
        <v>19186682.169899821</v>
      </c>
      <c r="E52" s="49">
        <f>E17</f>
        <v>14196750.932090247</v>
      </c>
      <c r="F52" s="49">
        <f>F17</f>
        <v>16414917.865775401</v>
      </c>
    </row>
    <row r="53" spans="1:6" ht="20.05" customHeight="1" x14ac:dyDescent="0.4">
      <c r="A53"/>
      <c r="B53"/>
      <c r="C53"/>
      <c r="D53"/>
      <c r="E53"/>
      <c r="F53"/>
    </row>
    <row r="54" spans="1:6" ht="20.05" customHeight="1" x14ac:dyDescent="0.4">
      <c r="A54"/>
      <c r="B54"/>
      <c r="C54"/>
      <c r="D54"/>
      <c r="E54"/>
      <c r="F54"/>
    </row>
    <row r="55" spans="1:6" ht="20.05" customHeight="1" x14ac:dyDescent="0.4">
      <c r="A55"/>
      <c r="B55"/>
      <c r="C55"/>
      <c r="D55"/>
      <c r="E55"/>
      <c r="F55"/>
    </row>
    <row r="56" spans="1:6" ht="20.05" customHeight="1" x14ac:dyDescent="0.4">
      <c r="A56"/>
      <c r="B56"/>
      <c r="C56"/>
      <c r="D56"/>
      <c r="E56"/>
      <c r="F56"/>
    </row>
    <row r="57" spans="1:6" ht="20.05" customHeight="1" x14ac:dyDescent="0.4">
      <c r="A57"/>
      <c r="B57"/>
      <c r="C57"/>
      <c r="D57"/>
      <c r="E57"/>
      <c r="F57"/>
    </row>
    <row r="58" spans="1:6" ht="20.05" customHeight="1" x14ac:dyDescent="0.4">
      <c r="A58"/>
      <c r="B58"/>
      <c r="C58"/>
      <c r="D58"/>
      <c r="E58"/>
      <c r="F58"/>
    </row>
    <row r="59" spans="1:6" ht="20.05" customHeight="1" x14ac:dyDescent="0.4">
      <c r="A59"/>
      <c r="B59"/>
      <c r="C59"/>
      <c r="D59"/>
      <c r="E59"/>
      <c r="F59"/>
    </row>
    <row r="60" spans="1:6" ht="20.05" customHeight="1" x14ac:dyDescent="0.4">
      <c r="A60"/>
      <c r="B60"/>
      <c r="C60"/>
      <c r="D60"/>
      <c r="E60"/>
      <c r="F60"/>
    </row>
    <row r="61" spans="1:6" ht="20.05" customHeight="1" x14ac:dyDescent="0.4">
      <c r="A61"/>
      <c r="B61"/>
      <c r="C61"/>
      <c r="D61"/>
      <c r="E61"/>
      <c r="F61"/>
    </row>
    <row r="62" spans="1:6" ht="20.05" customHeight="1" x14ac:dyDescent="0.4">
      <c r="A62"/>
      <c r="B62"/>
      <c r="C62"/>
      <c r="D62"/>
      <c r="E62"/>
      <c r="F62"/>
    </row>
    <row r="63" spans="1:6" ht="20.05" customHeight="1" x14ac:dyDescent="0.4">
      <c r="A63"/>
      <c r="B63"/>
      <c r="C63"/>
      <c r="D63"/>
      <c r="E63"/>
      <c r="F63"/>
    </row>
    <row r="64" spans="1:6" ht="20.05" customHeight="1" x14ac:dyDescent="0.4">
      <c r="A64"/>
      <c r="B64"/>
      <c r="C64"/>
      <c r="D64"/>
      <c r="E64"/>
      <c r="F64"/>
    </row>
    <row r="65" spans="1:6" ht="20.05" customHeight="1" x14ac:dyDescent="0.4">
      <c r="A65"/>
      <c r="B65"/>
      <c r="C65"/>
      <c r="D65"/>
      <c r="E65"/>
      <c r="F65"/>
    </row>
    <row r="66" spans="1:6" ht="20.05" customHeight="1" x14ac:dyDescent="0.4">
      <c r="A66"/>
      <c r="B66"/>
      <c r="C66"/>
      <c r="D66"/>
      <c r="E66"/>
      <c r="F66"/>
    </row>
    <row r="67" spans="1:6" ht="20.05" customHeight="1" x14ac:dyDescent="0.4">
      <c r="A67"/>
      <c r="B67"/>
      <c r="C67"/>
      <c r="D67"/>
      <c r="E67"/>
      <c r="F67"/>
    </row>
    <row r="68" spans="1:6" ht="20.05" customHeight="1" x14ac:dyDescent="0.4">
      <c r="A68"/>
      <c r="B68"/>
      <c r="C68"/>
      <c r="D68"/>
      <c r="E68"/>
      <c r="F68"/>
    </row>
    <row r="69" spans="1:6" ht="20.05" customHeight="1" x14ac:dyDescent="0.4">
      <c r="A69"/>
      <c r="B69"/>
      <c r="C69"/>
      <c r="D69"/>
      <c r="E69"/>
      <c r="F69"/>
    </row>
    <row r="70" spans="1:6" ht="20.05" customHeight="1" x14ac:dyDescent="0.4">
      <c r="A70"/>
      <c r="B70"/>
      <c r="C70"/>
      <c r="D70"/>
      <c r="E70"/>
      <c r="F70"/>
    </row>
    <row r="71" spans="1:6" ht="20.05" customHeight="1" x14ac:dyDescent="0.4">
      <c r="A71"/>
      <c r="B71"/>
      <c r="C71"/>
      <c r="D71"/>
      <c r="E71"/>
      <c r="F71"/>
    </row>
    <row r="72" spans="1:6" ht="20.05" customHeight="1" x14ac:dyDescent="0.4"/>
    <row r="73" spans="1:6" ht="20.05" customHeight="1" x14ac:dyDescent="0.4"/>
    <row r="74" spans="1:6" ht="20.05" customHeight="1" x14ac:dyDescent="0.4"/>
    <row r="75" spans="1:6" ht="20.05" customHeight="1" x14ac:dyDescent="0.4"/>
    <row r="76" spans="1:6" ht="20.05" customHeight="1" x14ac:dyDescent="0.4"/>
    <row r="77" spans="1:6" ht="20.05" customHeight="1" x14ac:dyDescent="0.4"/>
    <row r="78" spans="1:6" ht="20.05" customHeight="1" x14ac:dyDescent="0.4"/>
    <row r="79" spans="1:6" ht="20.05" customHeight="1" x14ac:dyDescent="0.4"/>
    <row r="80" spans="1:6" ht="20.05" customHeight="1" x14ac:dyDescent="0.4"/>
  </sheetData>
  <sheetProtection sheet="1" objects="1" scenarios="1" formatColumns="0" formatRows="0"/>
  <mergeCells count="12">
    <mergeCell ref="A34:F34"/>
    <mergeCell ref="C29:F29"/>
    <mergeCell ref="C30:F30"/>
    <mergeCell ref="A1:F1"/>
    <mergeCell ref="A2:F2"/>
    <mergeCell ref="A3:F3"/>
    <mergeCell ref="A9:F9"/>
    <mergeCell ref="A26:F26"/>
    <mergeCell ref="C4:F4"/>
    <mergeCell ref="C5:F5"/>
    <mergeCell ref="C6:F6"/>
    <mergeCell ref="C7:F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M25"/>
  <sheetViews>
    <sheetView showGridLines="0" zoomScale="80" zoomScaleNormal="80" workbookViewId="0">
      <pane ySplit="2" topLeftCell="A3" activePane="bottomLeft" state="frozen"/>
      <selection pane="bottomLeft" sqref="A1:F1"/>
    </sheetView>
  </sheetViews>
  <sheetFormatPr baseColWidth="10" defaultRowHeight="14.6" x14ac:dyDescent="0.4"/>
  <cols>
    <col min="1" max="1" width="42.15234375" style="4" customWidth="1"/>
    <col min="2" max="6" width="21.53515625" style="4" customWidth="1"/>
    <col min="7" max="8" width="0.53515625" style="4" hidden="1" customWidth="1"/>
    <col min="9" max="13" width="19.53515625" style="4" hidden="1" customWidth="1"/>
  </cols>
  <sheetData>
    <row r="1" spans="1:13" ht="40" customHeight="1" x14ac:dyDescent="0.7">
      <c r="A1" s="64" t="s">
        <v>46</v>
      </c>
      <c r="B1" s="65"/>
      <c r="C1" s="65"/>
      <c r="D1" s="65"/>
      <c r="E1" s="65"/>
      <c r="F1" s="65"/>
      <c r="G1"/>
      <c r="H1"/>
      <c r="I1"/>
      <c r="J1"/>
      <c r="K1"/>
      <c r="L1"/>
      <c r="M1"/>
    </row>
    <row r="2" spans="1:13" ht="24" customHeight="1" x14ac:dyDescent="0.4">
      <c r="A2" s="66" t="s">
        <v>47</v>
      </c>
      <c r="B2" s="67"/>
      <c r="C2" s="67"/>
      <c r="D2" s="67"/>
      <c r="E2" s="67"/>
      <c r="F2" s="67"/>
      <c r="G2"/>
      <c r="H2"/>
      <c r="I2"/>
      <c r="J2"/>
      <c r="K2"/>
      <c r="L2"/>
      <c r="M2"/>
    </row>
    <row r="3" spans="1:13" ht="28" customHeight="1" x14ac:dyDescent="0.45">
      <c r="A3" s="68" t="s">
        <v>48</v>
      </c>
      <c r="B3" s="69"/>
      <c r="C3" s="69"/>
      <c r="D3" s="69"/>
      <c r="E3" s="69"/>
      <c r="F3" s="69"/>
      <c r="G3"/>
      <c r="H3"/>
      <c r="I3"/>
      <c r="J3"/>
      <c r="K3"/>
      <c r="L3"/>
      <c r="M3"/>
    </row>
    <row r="4" spans="1:13" ht="28" customHeight="1" x14ac:dyDescent="0.45">
      <c r="A4" s="5" t="s">
        <v>49</v>
      </c>
      <c r="B4" s="42">
        <v>50000000</v>
      </c>
      <c r="C4" s="70" t="s">
        <v>50</v>
      </c>
      <c r="D4" s="43"/>
      <c r="E4" s="43"/>
      <c r="F4" s="43"/>
      <c r="G4"/>
      <c r="H4"/>
      <c r="I4"/>
      <c r="J4"/>
      <c r="K4"/>
      <c r="L4"/>
      <c r="M4"/>
    </row>
    <row r="5" spans="1:13" ht="24" customHeight="1" x14ac:dyDescent="0.45">
      <c r="A5" s="5" t="s">
        <v>51</v>
      </c>
      <c r="B5" s="33">
        <f>SIMULADOR!B4</f>
        <v>10000000</v>
      </c>
      <c r="C5" s="60" t="s">
        <v>52</v>
      </c>
      <c r="D5" s="43"/>
      <c r="E5" s="43"/>
      <c r="F5" s="43"/>
      <c r="G5"/>
      <c r="H5"/>
      <c r="I5"/>
      <c r="J5"/>
      <c r="K5"/>
      <c r="L5"/>
      <c r="M5"/>
    </row>
    <row r="6" spans="1:13" ht="24" customHeight="1" x14ac:dyDescent="0.45">
      <c r="A6" s="5" t="s">
        <v>53</v>
      </c>
      <c r="B6" s="34">
        <f>IF(B4&gt;B5,B4/B5,"⚠️ Meta menor al capital")</f>
        <v>5</v>
      </c>
      <c r="C6"/>
      <c r="D6"/>
      <c r="E6"/>
      <c r="F6"/>
      <c r="G6"/>
      <c r="H6"/>
      <c r="I6"/>
      <c r="J6"/>
      <c r="K6"/>
      <c r="L6"/>
      <c r="M6"/>
    </row>
    <row r="7" spans="1:13" ht="10" customHeight="1" x14ac:dyDescent="0.4">
      <c r="A7"/>
      <c r="B7"/>
      <c r="C7"/>
      <c r="D7"/>
      <c r="E7"/>
      <c r="F7"/>
      <c r="G7"/>
      <c r="H7"/>
      <c r="I7"/>
      <c r="J7"/>
      <c r="K7"/>
      <c r="L7"/>
      <c r="M7"/>
    </row>
    <row r="8" spans="1:13" ht="28" customHeight="1" x14ac:dyDescent="0.45">
      <c r="A8" s="71" t="s">
        <v>54</v>
      </c>
      <c r="B8" s="65"/>
      <c r="C8" s="65"/>
      <c r="D8" s="65"/>
      <c r="E8" s="65"/>
      <c r="F8" s="65"/>
      <c r="G8"/>
      <c r="H8"/>
      <c r="I8"/>
      <c r="J8"/>
      <c r="K8"/>
      <c r="L8"/>
      <c r="M8"/>
    </row>
    <row r="9" spans="1:13" ht="40" customHeight="1" x14ac:dyDescent="0.4">
      <c r="A9"/>
      <c r="B9" s="18" t="s">
        <v>12</v>
      </c>
      <c r="C9" s="18" t="s">
        <v>13</v>
      </c>
      <c r="D9" s="18" t="s">
        <v>14</v>
      </c>
      <c r="E9" s="18" t="s">
        <v>15</v>
      </c>
      <c r="F9" s="18" t="s">
        <v>16</v>
      </c>
      <c r="G9"/>
      <c r="H9"/>
      <c r="I9"/>
      <c r="J9"/>
      <c r="K9"/>
      <c r="L9"/>
      <c r="M9"/>
    </row>
    <row r="10" spans="1:13" ht="32.049999999999997" customHeight="1" x14ac:dyDescent="0.55000000000000004">
      <c r="A10" s="19" t="s">
        <v>55</v>
      </c>
      <c r="B10" s="39">
        <f>IF($B$4&gt;$B$5,LN($B$4/$B$5)/LN(1+SIMULADOR!B15),"—")</f>
        <v>14.69821167664006</v>
      </c>
      <c r="C10" s="39">
        <f>IF($B$4&gt;$B$5,LN($B$4/$B$5)/LN(1+SIMULADOR!C15),"—")</f>
        <v>14.380311299993153</v>
      </c>
      <c r="D10" s="39">
        <f>IF($B$4&gt;$B$5,LN($B$4/$B$5)/LN(1+SIMULADOR!D15),"—")</f>
        <v>12.349298535398265</v>
      </c>
      <c r="E10" s="39">
        <f>IF($B$4&gt;$B$5,LN($B$4/$B$5)/LN(1+SIMULADOR!E15),"—")</f>
        <v>22.963886143138449</v>
      </c>
      <c r="F10" s="39">
        <f>IF($B$4&gt;$B$5,LN($B$4/$B$5)/LN(1+SIMULADOR!F15),"—")</f>
        <v>16.237088376887677</v>
      </c>
      <c r="G10"/>
      <c r="H10"/>
      <c r="I10"/>
      <c r="J10"/>
      <c r="K10"/>
      <c r="L10"/>
      <c r="M10"/>
    </row>
    <row r="11" spans="1:13" ht="22" customHeight="1" x14ac:dyDescent="0.4">
      <c r="A11" t="s">
        <v>56</v>
      </c>
      <c r="B11" s="29">
        <f>IF(ISNUMBER(B10),B10*12,"—")</f>
        <v>176.37854011968074</v>
      </c>
      <c r="C11" s="29">
        <f>IF(ISNUMBER(C10),C10*12,"—")</f>
        <v>172.56373559991783</v>
      </c>
      <c r="D11" s="29">
        <f>IF(ISNUMBER(D10),D10*12,"—")</f>
        <v>148.1915824247792</v>
      </c>
      <c r="E11" s="29">
        <f>IF(ISNUMBER(E10),E10*12,"—")</f>
        <v>275.56663371766138</v>
      </c>
      <c r="F11" s="29">
        <f>IF(ISNUMBER(F10),F10*12,"—")</f>
        <v>194.84506052265212</v>
      </c>
      <c r="G11"/>
      <c r="H11"/>
      <c r="I11"/>
      <c r="J11"/>
      <c r="K11"/>
      <c r="L11"/>
      <c r="M11"/>
    </row>
    <row r="12" spans="1:13" ht="10" customHeight="1" x14ac:dyDescent="0.4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 ht="28" customHeight="1" x14ac:dyDescent="0.45">
      <c r="A13" s="71" t="s">
        <v>57</v>
      </c>
      <c r="B13" s="65"/>
      <c r="C13" s="65"/>
      <c r="D13" s="65"/>
      <c r="E13" s="65"/>
      <c r="F13" s="65"/>
      <c r="G13"/>
      <c r="H13"/>
      <c r="I13"/>
      <c r="J13"/>
      <c r="K13"/>
      <c r="L13"/>
      <c r="M13"/>
    </row>
    <row r="14" spans="1:13" ht="40" customHeight="1" x14ac:dyDescent="0.4">
      <c r="A14"/>
      <c r="B14" s="18" t="s">
        <v>12</v>
      </c>
      <c r="C14" s="18" t="s">
        <v>13</v>
      </c>
      <c r="D14" s="18" t="s">
        <v>14</v>
      </c>
      <c r="E14" s="18" t="s">
        <v>15</v>
      </c>
      <c r="F14" s="18" t="s">
        <v>16</v>
      </c>
      <c r="G14"/>
      <c r="H14"/>
      <c r="I14"/>
      <c r="J14"/>
      <c r="K14"/>
      <c r="L14"/>
      <c r="M14"/>
    </row>
    <row r="15" spans="1:13" ht="32.049999999999997" customHeight="1" x14ac:dyDescent="0.55000000000000004">
      <c r="A15" s="19" t="s">
        <v>58</v>
      </c>
      <c r="B15" s="39">
        <f>LN(2)/LN(1+SIMULADOR!B15)</f>
        <v>6.330175214729497</v>
      </c>
      <c r="C15" s="39">
        <f>LN(2)/LN(1+SIMULADOR!C15)</f>
        <v>6.1932629747049717</v>
      </c>
      <c r="D15" s="39">
        <f>LN(2)/LN(1+SIMULADOR!D15)</f>
        <v>5.3185533878461184</v>
      </c>
      <c r="E15" s="39">
        <f>LN(2)/LN(1+SIMULADOR!E15)</f>
        <v>9.8900074441161525</v>
      </c>
      <c r="F15" s="39">
        <f>LN(2)/LN(1+SIMULADOR!F15)</f>
        <v>6.9929333352914806</v>
      </c>
      <c r="G15"/>
      <c r="H15"/>
      <c r="I15"/>
      <c r="J15"/>
      <c r="K15"/>
      <c r="L15"/>
      <c r="M15"/>
    </row>
    <row r="16" spans="1:13" ht="22" customHeight="1" x14ac:dyDescent="0.4">
      <c r="A16" s="20" t="s">
        <v>59</v>
      </c>
      <c r="B16" s="40">
        <f>72/(SIMULADOR!B15*100)</f>
        <v>6.2219775420604622</v>
      </c>
      <c r="C16" s="40">
        <f>72/(SIMULADOR!C15*100)</f>
        <v>6.0799064132573353</v>
      </c>
      <c r="D16" s="40">
        <f>72/(SIMULADOR!D15*100)</f>
        <v>5.1724137931034493</v>
      </c>
      <c r="E16" s="40">
        <f>72/(SIMULADOR!E15*100)</f>
        <v>9.9173553719008272</v>
      </c>
      <c r="F16" s="40">
        <f>72/(SIMULADOR!F15*100)</f>
        <v>6.9097888675623755</v>
      </c>
      <c r="G16"/>
      <c r="H16"/>
      <c r="I16"/>
      <c r="J16"/>
      <c r="K16"/>
      <c r="L16"/>
      <c r="M16"/>
    </row>
    <row r="17" spans="1:13" ht="10" customHeight="1" x14ac:dyDescent="0.4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ht="28" customHeight="1" x14ac:dyDescent="0.45">
      <c r="A18" s="54" t="s">
        <v>60</v>
      </c>
      <c r="B18" s="55"/>
      <c r="C18" s="55"/>
      <c r="D18" s="55"/>
      <c r="E18" s="55"/>
      <c r="F18" s="55"/>
      <c r="G18"/>
      <c r="H18"/>
      <c r="I18"/>
      <c r="J18"/>
      <c r="K18"/>
      <c r="L18"/>
      <c r="M18"/>
    </row>
    <row r="19" spans="1:13" ht="8.0500000000000007" customHeight="1" x14ac:dyDescent="0.4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 ht="32.049999999999997" customHeight="1" x14ac:dyDescent="0.55000000000000004">
      <c r="A20" s="3" t="s">
        <v>61</v>
      </c>
      <c r="B20" s="16" t="str">
        <f>SUBSTITUTE(IF(MIN(B10:F10)=B10,B9,IF(MIN(B10:F10)=C10,C9,IF(MIN(B10:F10)=D10,D9,IF(MIN(B10:F10)=E10,E9,F9)))),CHAR(10)," ")</f>
        <v>📄 CDT 360 días</v>
      </c>
      <c r="C20"/>
      <c r="D20"/>
      <c r="E20"/>
      <c r="F20"/>
      <c r="G20"/>
      <c r="H20"/>
      <c r="I20"/>
      <c r="J20"/>
      <c r="K20"/>
      <c r="L20"/>
      <c r="M20"/>
    </row>
    <row r="21" spans="1:13" ht="28" customHeight="1" x14ac:dyDescent="0.5">
      <c r="A21" s="9" t="s">
        <v>62</v>
      </c>
      <c r="B21" s="21" t="str">
        <f>ROUND(MIN(B10:F10),1)&amp;" años ("&amp;ROUND(MIN(B11:F11),0)&amp;" meses)"</f>
        <v>12.3 años (148 meses)</v>
      </c>
      <c r="C21"/>
      <c r="D21"/>
      <c r="E21"/>
      <c r="F21"/>
      <c r="G21"/>
      <c r="H21"/>
      <c r="I21"/>
      <c r="J21"/>
      <c r="K21"/>
      <c r="L21"/>
      <c r="M21"/>
    </row>
    <row r="22" spans="1:13" ht="35.049999999999997" customHeight="1" x14ac:dyDescent="0.4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ht="5.05" customHeight="1" x14ac:dyDescent="0.4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ht="40.1" customHeight="1" x14ac:dyDescent="0.4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ht="32.049999999999997" customHeight="1" x14ac:dyDescent="0.4">
      <c r="A25"/>
      <c r="B25"/>
      <c r="C25"/>
      <c r="D25"/>
      <c r="E25"/>
      <c r="F25"/>
      <c r="G25"/>
      <c r="H25"/>
      <c r="I25"/>
      <c r="J25"/>
      <c r="K25"/>
      <c r="L25"/>
      <c r="M25"/>
    </row>
  </sheetData>
  <sheetProtection sheet="1" objects="1" scenarios="1"/>
  <mergeCells count="8">
    <mergeCell ref="A13:F13"/>
    <mergeCell ref="A18:F18"/>
    <mergeCell ref="A1:F1"/>
    <mergeCell ref="A2:F2"/>
    <mergeCell ref="A3:F3"/>
    <mergeCell ref="C4:F4"/>
    <mergeCell ref="C5:F5"/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27B0"/>
  </sheetPr>
  <dimension ref="A1:G1015"/>
  <sheetViews>
    <sheetView showGridLines="0" workbookViewId="0">
      <selection activeCell="L22" sqref="L22"/>
    </sheetView>
  </sheetViews>
  <sheetFormatPr baseColWidth="10" defaultRowHeight="14.6" x14ac:dyDescent="0.4"/>
  <cols>
    <col min="1" max="1" width="5.3828125" style="4" customWidth="1"/>
    <col min="2" max="2" width="39.4609375" style="4" customWidth="1"/>
    <col min="3" max="4" width="21.53515625" style="4" customWidth="1"/>
    <col min="5" max="5" width="8" style="4" customWidth="1"/>
    <col min="6" max="6" width="7.4609375" style="4" hidden="1" customWidth="1"/>
    <col min="7" max="7" width="8" style="4" customWidth="1"/>
  </cols>
  <sheetData>
    <row r="1" spans="1:7" ht="42" customHeight="1" x14ac:dyDescent="0.7">
      <c r="B1" s="25" t="s">
        <v>63</v>
      </c>
      <c r="C1" s="26"/>
      <c r="D1" s="26"/>
      <c r="E1" s="26"/>
      <c r="F1" s="26"/>
      <c r="G1" s="26"/>
    </row>
    <row r="2" spans="1:7" ht="25.1" customHeight="1" x14ac:dyDescent="0.4">
      <c r="B2" s="27" t="s">
        <v>64</v>
      </c>
      <c r="C2" s="28"/>
      <c r="D2" s="28"/>
      <c r="E2" s="28"/>
      <c r="F2" s="28"/>
      <c r="G2" s="28"/>
    </row>
    <row r="3" spans="1:7" ht="8.0500000000000007" customHeight="1" x14ac:dyDescent="0.4">
      <c r="A3"/>
      <c r="B3"/>
      <c r="C3"/>
      <c r="D3"/>
      <c r="E3"/>
      <c r="F3"/>
    </row>
    <row r="4" spans="1:7" ht="28" customHeight="1" x14ac:dyDescent="0.45">
      <c r="A4"/>
      <c r="B4" s="85" t="s">
        <v>72</v>
      </c>
      <c r="C4" s="86"/>
      <c r="D4" s="86"/>
      <c r="E4"/>
      <c r="F4"/>
    </row>
    <row r="5" spans="1:7" ht="22" customHeight="1" x14ac:dyDescent="0.4">
      <c r="A5"/>
      <c r="B5" s="87" t="s">
        <v>45</v>
      </c>
      <c r="C5" s="88" t="s">
        <v>73</v>
      </c>
      <c r="D5" s="88" t="s">
        <v>74</v>
      </c>
      <c r="E5"/>
      <c r="F5"/>
    </row>
    <row r="6" spans="1:7" ht="22" customHeight="1" x14ac:dyDescent="0.4">
      <c r="A6"/>
      <c r="B6" s="24" t="s">
        <v>40</v>
      </c>
      <c r="C6" s="90">
        <f>IF(F6&gt;0,F6/100,0.08)</f>
        <v>0.11</v>
      </c>
      <c r="D6" s="104" t="str">
        <f>IF(F6&gt;0,"🔄 Dinámico (API)","✏️ Manual")</f>
        <v>🔄 Dinámico (API)</v>
      </c>
      <c r="E6"/>
      <c r="F6" cm="1">
        <f t="array" ref="F6">IFERROR(MAX(IF((ISNUMBER(SEARCH("DEPOSITOS DE AHORRO ACTIVOS PERSONA NATURAL",_DATOS_API!B3:B502)))*(LEFT(_DATOS_API!D3:D502,10)&gt;="2025-06-01"),VALUE(_DATOS_API!C3:C502),0)),0)</f>
        <v>11</v>
      </c>
    </row>
    <row r="7" spans="1:7" ht="22" customHeight="1" x14ac:dyDescent="0.4">
      <c r="A7"/>
      <c r="B7" t="s">
        <v>41</v>
      </c>
      <c r="C7" s="89">
        <f>IF(F7&gt;0,F7/100,0.095)</f>
        <v>0.11349999999999999</v>
      </c>
      <c r="D7" s="104" t="str">
        <f>IF(F7&gt;0,"🔄 Dinámico (API)","✏️ Manual")</f>
        <v>🔄 Dinámico (API)</v>
      </c>
      <c r="E7"/>
      <c r="F7" cm="1">
        <f t="array" ref="F7">IFERROR(MAX(IF((ISNUMBER(SEARCH("90",_DATOS_API!B3:B502)))*(LEFT(_DATOS_API!D3:D502,10)&gt;="2025-06-01"),VALUE(_DATOS_API!C3:C502),0)),0)</f>
        <v>11.35</v>
      </c>
      <c r="G7" s="26"/>
    </row>
    <row r="8" spans="1:7" ht="22" customHeight="1" x14ac:dyDescent="0.4">
      <c r="A8"/>
      <c r="B8" s="24" t="s">
        <v>42</v>
      </c>
      <c r="C8" s="90">
        <f>IF(F8&gt;0,F8/100,0.105)</f>
        <v>0.13919999999999999</v>
      </c>
      <c r="D8" s="105" t="str">
        <f>IF(F8&gt;0,"🔄 Dinámico (API)","✏️ Manual")</f>
        <v>🔄 Dinámico (API)</v>
      </c>
      <c r="E8"/>
      <c r="F8" cm="1">
        <f t="array" ref="F8">IFERROR(MAX(IF((ISNUMBER(SEARCH("360",_DATOS_API!B3:B502)))*(LEFT(_DATOS_API!D3:D502,10)&gt;="2025-06-01"),VALUE(_DATOS_API!C3:C502),0)),0)</f>
        <v>13.92</v>
      </c>
    </row>
    <row r="9" spans="1:7" ht="22" customHeight="1" x14ac:dyDescent="0.4">
      <c r="A9"/>
      <c r="B9" t="s">
        <v>43</v>
      </c>
      <c r="C9" s="89">
        <f>IF(F9&gt;0,F9/100,0.0587)</f>
        <v>7.2599999999999998E-2</v>
      </c>
      <c r="D9" s="105" t="str">
        <f>IF(F9&gt;0,"🔄 Dinámico (API)","✏️ Manual")</f>
        <v>🔄 Dinámico (API)</v>
      </c>
      <c r="E9"/>
      <c r="F9" cm="1">
        <f t="array" ref="F9">IFERROR(MAX(IF((ISNUMBER(SEARCH("CONSERV",_DATOS_FPV!B3:B1002)))*(LEFT(_DATOS_FPV!E3:E1002,10)&gt;="2025-06-01"),VALUE(_DATOS_FPV!D3:D1002),0)),0)</f>
        <v>7.26</v>
      </c>
      <c r="G9" s="17"/>
    </row>
    <row r="10" spans="1:7" ht="22" customHeight="1" x14ac:dyDescent="0.4">
      <c r="A10"/>
      <c r="B10" s="24" t="s">
        <v>44</v>
      </c>
      <c r="C10" s="90">
        <f>IF(F10&gt;0,F10/100,0.0952)</f>
        <v>0.1042</v>
      </c>
      <c r="D10" s="105" t="str">
        <f>IF(F10&gt;0,"🔄 Dinámico (API)","✏️ Manual")</f>
        <v>🔄 Dinámico (API)</v>
      </c>
      <c r="E10"/>
      <c r="F10" cm="1">
        <f t="array" ref="F10">IFERROR(MAX(IF((ISNUMBER(SEARCH("MODER",_DATOS_FPV!B3:B1002)))*(LEFT(_DATOS_FPV!E3:E1002,10)&gt;="2025-06-01"),VALUE(_DATOS_FPV!D3:D1002),0)),0)</f>
        <v>10.42</v>
      </c>
    </row>
    <row r="11" spans="1:7" ht="26.05" customHeight="1" x14ac:dyDescent="0.4">
      <c r="A11"/>
      <c r="B11"/>
      <c r="C11"/>
      <c r="D11"/>
      <c r="E11"/>
      <c r="F11"/>
    </row>
    <row r="12" spans="1:7" ht="36" customHeight="1" x14ac:dyDescent="0.4">
      <c r="A12"/>
      <c r="B12" s="91" t="s">
        <v>1161</v>
      </c>
      <c r="C12" s="43"/>
      <c r="D12" s="43"/>
      <c r="E12"/>
      <c r="F12"/>
    </row>
    <row r="13" spans="1:7" x14ac:dyDescent="0.4">
      <c r="A13"/>
      <c r="B13" s="92" t="str">
        <f>"📌 Fuente: Superintendencia Financiera de Colombia vía datos.gov.co | Banco de la República | Corte: "&amp;CHOOSE(VALUE(MID(_DATOS_API!D3,6,2)),"enero","febrero","marzo","abril","mayo","junio","julio","agosto","septiembre","octubre","noviembre","diciembre")&amp;" "&amp;LEFT(_DATOS_API!D3,4)</f>
        <v>📌 Fuente: Superintendencia Financiera de Colombia vía datos.gov.co | Banco de la República | Corte: marzo 2026</v>
      </c>
      <c r="C13" s="43"/>
      <c r="D13" s="43"/>
      <c r="E13"/>
      <c r="F13"/>
    </row>
    <row r="14" spans="1:7" ht="16" customHeight="1" x14ac:dyDescent="0.4">
      <c r="A14"/>
      <c r="B14"/>
      <c r="C14"/>
      <c r="D14"/>
      <c r="E14"/>
      <c r="F14"/>
      <c r="G14"/>
    </row>
    <row r="15" spans="1:7" ht="22.1" customHeight="1" x14ac:dyDescent="0.4">
      <c r="A15"/>
      <c r="B15"/>
      <c r="C15"/>
      <c r="D15"/>
      <c r="E15"/>
      <c r="F15"/>
      <c r="G15"/>
    </row>
    <row r="16" spans="1:7" ht="22.1" customHeight="1" x14ac:dyDescent="0.4">
      <c r="A16"/>
      <c r="B16"/>
      <c r="C16"/>
      <c r="D16"/>
      <c r="E16"/>
      <c r="F16"/>
      <c r="G16"/>
    </row>
    <row r="17" customFormat="1" ht="22.1" customHeight="1" x14ac:dyDescent="0.4"/>
    <row r="18" customFormat="1" x14ac:dyDescent="0.4"/>
    <row r="19" customFormat="1" x14ac:dyDescent="0.4"/>
    <row r="20" customFormat="1" x14ac:dyDescent="0.4"/>
    <row r="21" customFormat="1" x14ac:dyDescent="0.4"/>
    <row r="22" customFormat="1" ht="20.05" customHeight="1" x14ac:dyDescent="0.4"/>
    <row r="23" customFormat="1" ht="32.049999999999997" customHeight="1" x14ac:dyDescent="0.4"/>
    <row r="24" customFormat="1" ht="5.05" customHeight="1" x14ac:dyDescent="0.4"/>
    <row r="25" customFormat="1" ht="24" customHeight="1" x14ac:dyDescent="0.4"/>
    <row r="26" customFormat="1" x14ac:dyDescent="0.4"/>
    <row r="27" customFormat="1" x14ac:dyDescent="0.4"/>
    <row r="28" customFormat="1" x14ac:dyDescent="0.4"/>
    <row r="29" customFormat="1" x14ac:dyDescent="0.4"/>
    <row r="30" customFormat="1" x14ac:dyDescent="0.4"/>
    <row r="31" customFormat="1" x14ac:dyDescent="0.4"/>
    <row r="32" customFormat="1" ht="15" customHeight="1" x14ac:dyDescent="0.4"/>
    <row r="33" customFormat="1" ht="30" customHeight="1" x14ac:dyDescent="0.4"/>
    <row r="34" customFormat="1" ht="5.05" customHeight="1" x14ac:dyDescent="0.4"/>
    <row r="35" customFormat="1" ht="30" customHeight="1" x14ac:dyDescent="0.4"/>
    <row r="36" customFormat="1" ht="24" customHeight="1" x14ac:dyDescent="0.4"/>
    <row r="37" customFormat="1" x14ac:dyDescent="0.4"/>
    <row r="38" customFormat="1" ht="15" customHeight="1" x14ac:dyDescent="0.4"/>
    <row r="39" customFormat="1" ht="30" customHeight="1" x14ac:dyDescent="0.4"/>
    <row r="40" customFormat="1" ht="5.05" customHeight="1" x14ac:dyDescent="0.4"/>
    <row r="41" customFormat="1" ht="24" customHeight="1" x14ac:dyDescent="0.4"/>
    <row r="42" customFormat="1" ht="26.05" customHeight="1" x14ac:dyDescent="0.4"/>
    <row r="43" customFormat="1" ht="26.05" customHeight="1" x14ac:dyDescent="0.4"/>
    <row r="44" customFormat="1" ht="26.05" customHeight="1" x14ac:dyDescent="0.4"/>
    <row r="45" customFormat="1" ht="26.05" customHeight="1" x14ac:dyDescent="0.4"/>
    <row r="46" customFormat="1" ht="26.05" customHeight="1" x14ac:dyDescent="0.4"/>
    <row r="47" customFormat="1" x14ac:dyDescent="0.4"/>
    <row r="48" customFormat="1" ht="10.1" customHeight="1" x14ac:dyDescent="0.4"/>
    <row r="49" customFormat="1" ht="24" customHeight="1" x14ac:dyDescent="0.4"/>
    <row r="50" customFormat="1" ht="20.05" customHeight="1" x14ac:dyDescent="0.4"/>
    <row r="51" customFormat="1" ht="20.05" customHeight="1" x14ac:dyDescent="0.4"/>
    <row r="52" customFormat="1" ht="20.05" customHeight="1" x14ac:dyDescent="0.4"/>
    <row r="53" customFormat="1" x14ac:dyDescent="0.4"/>
    <row r="54" customFormat="1" x14ac:dyDescent="0.4"/>
    <row r="55" customFormat="1" x14ac:dyDescent="0.4"/>
    <row r="56" customFormat="1" x14ac:dyDescent="0.4"/>
    <row r="57" customFormat="1" x14ac:dyDescent="0.4"/>
    <row r="58" customFormat="1" x14ac:dyDescent="0.4"/>
    <row r="59" customFormat="1" x14ac:dyDescent="0.4"/>
    <row r="60" customFormat="1" x14ac:dyDescent="0.4"/>
    <row r="61" customFormat="1" x14ac:dyDescent="0.4"/>
    <row r="62" customFormat="1" x14ac:dyDescent="0.4"/>
    <row r="63" customFormat="1" x14ac:dyDescent="0.4"/>
    <row r="64" customFormat="1" x14ac:dyDescent="0.4"/>
    <row r="65" customFormat="1" x14ac:dyDescent="0.4"/>
    <row r="66" customFormat="1" x14ac:dyDescent="0.4"/>
    <row r="67" customFormat="1" x14ac:dyDescent="0.4"/>
    <row r="68" customFormat="1" x14ac:dyDescent="0.4"/>
    <row r="69" customFormat="1" x14ac:dyDescent="0.4"/>
    <row r="70" customFormat="1" x14ac:dyDescent="0.4"/>
    <row r="71" customFormat="1" x14ac:dyDescent="0.4"/>
    <row r="72" customFormat="1" x14ac:dyDescent="0.4"/>
    <row r="73" customFormat="1" x14ac:dyDescent="0.4"/>
    <row r="74" customFormat="1" x14ac:dyDescent="0.4"/>
    <row r="75" customFormat="1" x14ac:dyDescent="0.4"/>
    <row r="76" customFormat="1" x14ac:dyDescent="0.4"/>
    <row r="77" customFormat="1" x14ac:dyDescent="0.4"/>
    <row r="78" customFormat="1" x14ac:dyDescent="0.4"/>
    <row r="79" customFormat="1" x14ac:dyDescent="0.4"/>
    <row r="80" customFormat="1" x14ac:dyDescent="0.4"/>
    <row r="81" customFormat="1" x14ac:dyDescent="0.4"/>
    <row r="82" customFormat="1" x14ac:dyDescent="0.4"/>
    <row r="83" customFormat="1" x14ac:dyDescent="0.4"/>
    <row r="84" customFormat="1" x14ac:dyDescent="0.4"/>
    <row r="85" customFormat="1" x14ac:dyDescent="0.4"/>
    <row r="86" customFormat="1" x14ac:dyDescent="0.4"/>
    <row r="87" customFormat="1" x14ac:dyDescent="0.4"/>
    <row r="88" customFormat="1" x14ac:dyDescent="0.4"/>
    <row r="89" customFormat="1" x14ac:dyDescent="0.4"/>
    <row r="90" customFormat="1" x14ac:dyDescent="0.4"/>
    <row r="91" customFormat="1" x14ac:dyDescent="0.4"/>
    <row r="92" customFormat="1" x14ac:dyDescent="0.4"/>
    <row r="93" customFormat="1" x14ac:dyDescent="0.4"/>
    <row r="94" customFormat="1" x14ac:dyDescent="0.4"/>
    <row r="95" customFormat="1" x14ac:dyDescent="0.4"/>
    <row r="96" customFormat="1" x14ac:dyDescent="0.4"/>
    <row r="97" customFormat="1" x14ac:dyDescent="0.4"/>
    <row r="98" customFormat="1" x14ac:dyDescent="0.4"/>
    <row r="99" customFormat="1" x14ac:dyDescent="0.4"/>
    <row r="100" customFormat="1" x14ac:dyDescent="0.4"/>
    <row r="101" customFormat="1" x14ac:dyDescent="0.4"/>
    <row r="102" customFormat="1" x14ac:dyDescent="0.4"/>
    <row r="103" customFormat="1" x14ac:dyDescent="0.4"/>
    <row r="104" customFormat="1" x14ac:dyDescent="0.4"/>
    <row r="105" customFormat="1" x14ac:dyDescent="0.4"/>
    <row r="106" customFormat="1" x14ac:dyDescent="0.4"/>
    <row r="107" customFormat="1" x14ac:dyDescent="0.4"/>
    <row r="108" customFormat="1" x14ac:dyDescent="0.4"/>
    <row r="109" customFormat="1" x14ac:dyDescent="0.4"/>
    <row r="110" customFormat="1" x14ac:dyDescent="0.4"/>
    <row r="111" customFormat="1" x14ac:dyDescent="0.4"/>
    <row r="112" customFormat="1" x14ac:dyDescent="0.4"/>
    <row r="113" customFormat="1" x14ac:dyDescent="0.4"/>
    <row r="114" customFormat="1" x14ac:dyDescent="0.4"/>
    <row r="115" customFormat="1" x14ac:dyDescent="0.4"/>
    <row r="116" customFormat="1" x14ac:dyDescent="0.4"/>
    <row r="117" customFormat="1" x14ac:dyDescent="0.4"/>
    <row r="118" customFormat="1" x14ac:dyDescent="0.4"/>
    <row r="119" customFormat="1" x14ac:dyDescent="0.4"/>
    <row r="120" customFormat="1" x14ac:dyDescent="0.4"/>
    <row r="121" customFormat="1" x14ac:dyDescent="0.4"/>
    <row r="122" customFormat="1" x14ac:dyDescent="0.4"/>
    <row r="123" customFormat="1" x14ac:dyDescent="0.4"/>
    <row r="124" customFormat="1" x14ac:dyDescent="0.4"/>
    <row r="125" customFormat="1" x14ac:dyDescent="0.4"/>
    <row r="126" customFormat="1" x14ac:dyDescent="0.4"/>
    <row r="127" customFormat="1" x14ac:dyDescent="0.4"/>
    <row r="128" customFormat="1" x14ac:dyDescent="0.4"/>
    <row r="129" customFormat="1" x14ac:dyDescent="0.4"/>
    <row r="130" customFormat="1" x14ac:dyDescent="0.4"/>
    <row r="131" customFormat="1" x14ac:dyDescent="0.4"/>
    <row r="132" customFormat="1" x14ac:dyDescent="0.4"/>
    <row r="133" customFormat="1" x14ac:dyDescent="0.4"/>
    <row r="134" customFormat="1" x14ac:dyDescent="0.4"/>
    <row r="135" customFormat="1" x14ac:dyDescent="0.4"/>
    <row r="136" customFormat="1" x14ac:dyDescent="0.4"/>
    <row r="137" customFormat="1" x14ac:dyDescent="0.4"/>
    <row r="138" customFormat="1" x14ac:dyDescent="0.4"/>
    <row r="139" customFormat="1" x14ac:dyDescent="0.4"/>
    <row r="140" customFormat="1" x14ac:dyDescent="0.4"/>
    <row r="141" customFormat="1" x14ac:dyDescent="0.4"/>
    <row r="142" customFormat="1" x14ac:dyDescent="0.4"/>
    <row r="143" customFormat="1" x14ac:dyDescent="0.4"/>
    <row r="144" customFormat="1" x14ac:dyDescent="0.4"/>
    <row r="145" customFormat="1" x14ac:dyDescent="0.4"/>
    <row r="146" customFormat="1" x14ac:dyDescent="0.4"/>
    <row r="147" customFormat="1" x14ac:dyDescent="0.4"/>
    <row r="148" customFormat="1" x14ac:dyDescent="0.4"/>
    <row r="149" customFormat="1" x14ac:dyDescent="0.4"/>
    <row r="150" customFormat="1" x14ac:dyDescent="0.4"/>
    <row r="151" customFormat="1" x14ac:dyDescent="0.4"/>
    <row r="152" customFormat="1" x14ac:dyDescent="0.4"/>
    <row r="153" customFormat="1" x14ac:dyDescent="0.4"/>
    <row r="154" customFormat="1" x14ac:dyDescent="0.4"/>
    <row r="155" customFormat="1" x14ac:dyDescent="0.4"/>
    <row r="156" customFormat="1" x14ac:dyDescent="0.4"/>
    <row r="157" customFormat="1" x14ac:dyDescent="0.4"/>
    <row r="158" customFormat="1" x14ac:dyDescent="0.4"/>
    <row r="159" customFormat="1" x14ac:dyDescent="0.4"/>
    <row r="160" customFormat="1" x14ac:dyDescent="0.4"/>
    <row r="161" spans="1:7" x14ac:dyDescent="0.4">
      <c r="A161"/>
      <c r="B161"/>
      <c r="C161"/>
      <c r="D161"/>
      <c r="E161"/>
      <c r="F161"/>
      <c r="G161"/>
    </row>
    <row r="162" spans="1:7" x14ac:dyDescent="0.4">
      <c r="A162"/>
      <c r="B162"/>
      <c r="C162"/>
      <c r="D162"/>
      <c r="E162"/>
      <c r="F162"/>
      <c r="G162"/>
    </row>
    <row r="163" spans="1:7" x14ac:dyDescent="0.4">
      <c r="A163"/>
      <c r="B163"/>
      <c r="C163"/>
      <c r="D163"/>
      <c r="E163"/>
      <c r="F163"/>
      <c r="G163"/>
    </row>
    <row r="164" spans="1:7" x14ac:dyDescent="0.4">
      <c r="A164"/>
      <c r="B164"/>
      <c r="C164"/>
      <c r="D164"/>
      <c r="E164"/>
      <c r="F164"/>
      <c r="G164"/>
    </row>
    <row r="165" spans="1:7" x14ac:dyDescent="0.4">
      <c r="A165"/>
      <c r="B165"/>
      <c r="C165"/>
      <c r="D165"/>
      <c r="E165"/>
      <c r="F165"/>
      <c r="G165"/>
    </row>
    <row r="166" spans="1:7" x14ac:dyDescent="0.4">
      <c r="A166"/>
      <c r="B166"/>
      <c r="C166"/>
      <c r="D166"/>
      <c r="E166"/>
      <c r="F166"/>
      <c r="G166"/>
    </row>
    <row r="167" spans="1:7" x14ac:dyDescent="0.4">
      <c r="A167"/>
      <c r="B167"/>
      <c r="C167"/>
      <c r="D167"/>
      <c r="E167"/>
      <c r="F167"/>
      <c r="G167"/>
    </row>
    <row r="168" spans="1:7" x14ac:dyDescent="0.4">
      <c r="A168"/>
      <c r="B168"/>
      <c r="C168"/>
      <c r="D168"/>
      <c r="E168"/>
      <c r="F168"/>
      <c r="G168"/>
    </row>
    <row r="169" spans="1:7" x14ac:dyDescent="0.4">
      <c r="A169"/>
      <c r="B169"/>
      <c r="C169"/>
      <c r="D169"/>
      <c r="E169"/>
      <c r="F169"/>
      <c r="G169"/>
    </row>
    <row r="170" spans="1:7" x14ac:dyDescent="0.4">
      <c r="A170"/>
      <c r="B170"/>
      <c r="C170"/>
      <c r="D170"/>
      <c r="E170"/>
      <c r="F170"/>
      <c r="G170"/>
    </row>
    <row r="171" spans="1:7" x14ac:dyDescent="0.4">
      <c r="A171"/>
      <c r="B171"/>
      <c r="C171"/>
      <c r="D171"/>
      <c r="E171"/>
      <c r="F171"/>
    </row>
    <row r="172" spans="1:7" x14ac:dyDescent="0.4">
      <c r="A172"/>
      <c r="B172"/>
      <c r="C172"/>
      <c r="D172"/>
      <c r="E172"/>
      <c r="F172"/>
    </row>
    <row r="173" spans="1:7" x14ac:dyDescent="0.4">
      <c r="A173"/>
      <c r="B173"/>
      <c r="C173"/>
      <c r="D173"/>
      <c r="E173"/>
      <c r="F173"/>
    </row>
    <row r="174" spans="1:7" x14ac:dyDescent="0.4">
      <c r="A174"/>
      <c r="B174"/>
      <c r="C174"/>
      <c r="D174"/>
      <c r="E174"/>
      <c r="F174"/>
    </row>
    <row r="175" spans="1:7" x14ac:dyDescent="0.4">
      <c r="A175"/>
      <c r="B175"/>
      <c r="C175"/>
      <c r="D175"/>
      <c r="E175"/>
      <c r="F175"/>
    </row>
    <row r="176" spans="1:7" x14ac:dyDescent="0.4">
      <c r="A176"/>
      <c r="B176"/>
      <c r="C176"/>
      <c r="D176"/>
      <c r="E176"/>
      <c r="F176"/>
    </row>
    <row r="177" spans="1:6" x14ac:dyDescent="0.4">
      <c r="A177"/>
      <c r="B177"/>
      <c r="C177"/>
      <c r="D177"/>
      <c r="E177"/>
      <c r="F177"/>
    </row>
    <row r="178" spans="1:6" x14ac:dyDescent="0.4">
      <c r="A178"/>
      <c r="B178"/>
      <c r="C178"/>
      <c r="D178"/>
      <c r="E178"/>
      <c r="F178"/>
    </row>
    <row r="179" spans="1:6" x14ac:dyDescent="0.4">
      <c r="A179"/>
      <c r="B179"/>
      <c r="C179"/>
      <c r="D179"/>
      <c r="E179"/>
      <c r="F179"/>
    </row>
    <row r="180" spans="1:6" x14ac:dyDescent="0.4">
      <c r="A180"/>
      <c r="B180"/>
      <c r="C180"/>
      <c r="D180"/>
      <c r="E180"/>
      <c r="F180"/>
    </row>
    <row r="181" spans="1:6" x14ac:dyDescent="0.4">
      <c r="A181"/>
      <c r="B181"/>
      <c r="C181"/>
      <c r="D181"/>
      <c r="E181"/>
      <c r="F181"/>
    </row>
    <row r="182" spans="1:6" x14ac:dyDescent="0.4">
      <c r="A182"/>
      <c r="B182"/>
      <c r="C182"/>
      <c r="D182"/>
      <c r="E182"/>
      <c r="F182"/>
    </row>
    <row r="183" spans="1:6" x14ac:dyDescent="0.4">
      <c r="A183"/>
      <c r="B183"/>
      <c r="C183"/>
      <c r="D183"/>
      <c r="E183"/>
      <c r="F183"/>
    </row>
    <row r="184" spans="1:6" x14ac:dyDescent="0.4">
      <c r="A184"/>
      <c r="B184"/>
      <c r="C184"/>
      <c r="D184"/>
      <c r="E184"/>
      <c r="F184"/>
    </row>
    <row r="185" spans="1:6" x14ac:dyDescent="0.4">
      <c r="A185"/>
      <c r="B185"/>
      <c r="C185"/>
      <c r="D185"/>
      <c r="E185"/>
      <c r="F185"/>
    </row>
    <row r="186" spans="1:6" x14ac:dyDescent="0.4">
      <c r="A186"/>
      <c r="B186"/>
      <c r="C186"/>
      <c r="D186"/>
      <c r="E186"/>
      <c r="F186"/>
    </row>
    <row r="187" spans="1:6" x14ac:dyDescent="0.4">
      <c r="A187"/>
      <c r="B187"/>
      <c r="C187"/>
      <c r="D187"/>
      <c r="E187"/>
      <c r="F187"/>
    </row>
    <row r="188" spans="1:6" x14ac:dyDescent="0.4">
      <c r="A188"/>
      <c r="B188"/>
      <c r="C188"/>
      <c r="D188"/>
      <c r="E188"/>
      <c r="F188"/>
    </row>
    <row r="189" spans="1:6" x14ac:dyDescent="0.4">
      <c r="A189"/>
      <c r="B189"/>
      <c r="C189"/>
      <c r="D189"/>
      <c r="E189"/>
      <c r="F189"/>
    </row>
    <row r="190" spans="1:6" x14ac:dyDescent="0.4">
      <c r="A190"/>
      <c r="B190"/>
      <c r="C190"/>
      <c r="D190"/>
      <c r="E190"/>
      <c r="F190"/>
    </row>
    <row r="191" spans="1:6" x14ac:dyDescent="0.4">
      <c r="A191"/>
      <c r="B191"/>
      <c r="C191"/>
      <c r="D191"/>
      <c r="E191"/>
      <c r="F191"/>
    </row>
    <row r="192" spans="1:6" x14ac:dyDescent="0.4">
      <c r="A192"/>
      <c r="B192"/>
      <c r="C192"/>
      <c r="D192"/>
      <c r="E192"/>
      <c r="F192"/>
    </row>
    <row r="193" spans="1:6" x14ac:dyDescent="0.4">
      <c r="A193"/>
      <c r="B193"/>
      <c r="C193"/>
      <c r="D193"/>
      <c r="E193"/>
      <c r="F193"/>
    </row>
    <row r="194" spans="1:6" x14ac:dyDescent="0.4">
      <c r="A194"/>
      <c r="B194"/>
      <c r="C194"/>
      <c r="D194"/>
      <c r="E194"/>
      <c r="F194"/>
    </row>
    <row r="195" spans="1:6" x14ac:dyDescent="0.4">
      <c r="A195"/>
      <c r="B195"/>
      <c r="C195"/>
      <c r="D195"/>
      <c r="E195"/>
      <c r="F195"/>
    </row>
    <row r="196" spans="1:6" x14ac:dyDescent="0.4">
      <c r="A196"/>
      <c r="B196"/>
      <c r="C196"/>
      <c r="D196"/>
      <c r="E196"/>
      <c r="F196"/>
    </row>
    <row r="197" spans="1:6" x14ac:dyDescent="0.4">
      <c r="A197"/>
      <c r="B197"/>
      <c r="C197"/>
      <c r="D197"/>
      <c r="E197"/>
      <c r="F197"/>
    </row>
    <row r="198" spans="1:6" x14ac:dyDescent="0.4">
      <c r="A198"/>
      <c r="B198"/>
      <c r="C198"/>
      <c r="D198"/>
      <c r="E198"/>
      <c r="F198"/>
    </row>
    <row r="199" spans="1:6" x14ac:dyDescent="0.4">
      <c r="A199"/>
      <c r="B199"/>
      <c r="C199"/>
      <c r="D199"/>
      <c r="E199"/>
      <c r="F199"/>
    </row>
    <row r="200" spans="1:6" x14ac:dyDescent="0.4">
      <c r="A200"/>
      <c r="B200"/>
      <c r="C200"/>
      <c r="D200"/>
      <c r="E200"/>
      <c r="F200"/>
    </row>
    <row r="201" spans="1:6" x14ac:dyDescent="0.4">
      <c r="A201"/>
      <c r="B201"/>
      <c r="C201"/>
      <c r="D201"/>
      <c r="E201"/>
      <c r="F201"/>
    </row>
    <row r="202" spans="1:6" x14ac:dyDescent="0.4">
      <c r="A202"/>
      <c r="B202"/>
      <c r="C202"/>
      <c r="D202"/>
      <c r="E202"/>
      <c r="F202"/>
    </row>
    <row r="203" spans="1:6" x14ac:dyDescent="0.4">
      <c r="A203"/>
      <c r="B203"/>
      <c r="C203"/>
      <c r="D203"/>
      <c r="E203"/>
      <c r="F203"/>
    </row>
    <row r="204" spans="1:6" x14ac:dyDescent="0.4">
      <c r="A204"/>
      <c r="B204"/>
      <c r="C204"/>
      <c r="D204"/>
      <c r="E204"/>
      <c r="F204"/>
    </row>
    <row r="205" spans="1:6" x14ac:dyDescent="0.4">
      <c r="A205"/>
      <c r="B205"/>
      <c r="C205"/>
      <c r="D205"/>
      <c r="E205"/>
      <c r="F205"/>
    </row>
    <row r="206" spans="1:6" x14ac:dyDescent="0.4">
      <c r="A206"/>
      <c r="B206"/>
      <c r="C206"/>
      <c r="D206"/>
      <c r="E206"/>
      <c r="F206"/>
    </row>
    <row r="207" spans="1:6" x14ac:dyDescent="0.4">
      <c r="A207"/>
      <c r="B207"/>
      <c r="C207"/>
      <c r="D207"/>
      <c r="E207"/>
      <c r="F207"/>
    </row>
    <row r="208" spans="1:6" x14ac:dyDescent="0.4">
      <c r="A208"/>
      <c r="B208"/>
      <c r="C208"/>
      <c r="D208"/>
      <c r="E208"/>
      <c r="F208"/>
    </row>
    <row r="209" spans="1:6" x14ac:dyDescent="0.4">
      <c r="A209"/>
      <c r="B209"/>
      <c r="C209"/>
      <c r="D209"/>
      <c r="E209"/>
      <c r="F209"/>
    </row>
    <row r="210" spans="1:6" x14ac:dyDescent="0.4">
      <c r="A210"/>
      <c r="B210"/>
      <c r="C210"/>
      <c r="D210"/>
      <c r="E210"/>
      <c r="F210"/>
    </row>
    <row r="211" spans="1:6" x14ac:dyDescent="0.4">
      <c r="A211"/>
      <c r="B211"/>
      <c r="C211"/>
      <c r="D211"/>
      <c r="E211"/>
      <c r="F211"/>
    </row>
    <row r="212" spans="1:6" x14ac:dyDescent="0.4">
      <c r="A212"/>
      <c r="B212"/>
      <c r="C212"/>
      <c r="D212"/>
      <c r="E212"/>
      <c r="F212"/>
    </row>
    <row r="213" spans="1:6" x14ac:dyDescent="0.4">
      <c r="A213"/>
      <c r="B213"/>
      <c r="C213"/>
      <c r="D213"/>
      <c r="E213"/>
      <c r="F213"/>
    </row>
    <row r="214" spans="1:6" x14ac:dyDescent="0.4">
      <c r="A214"/>
      <c r="B214"/>
      <c r="C214"/>
      <c r="D214"/>
      <c r="E214"/>
      <c r="F214"/>
    </row>
    <row r="215" spans="1:6" x14ac:dyDescent="0.4">
      <c r="A215"/>
      <c r="B215"/>
      <c r="C215"/>
      <c r="D215"/>
      <c r="E215"/>
      <c r="F215"/>
    </row>
    <row r="216" spans="1:6" x14ac:dyDescent="0.4">
      <c r="A216"/>
      <c r="B216"/>
      <c r="C216"/>
      <c r="D216"/>
      <c r="E216"/>
      <c r="F216"/>
    </row>
    <row r="217" spans="1:6" x14ac:dyDescent="0.4">
      <c r="A217"/>
      <c r="B217"/>
      <c r="C217"/>
      <c r="D217"/>
      <c r="E217"/>
      <c r="F217"/>
    </row>
    <row r="218" spans="1:6" x14ac:dyDescent="0.4">
      <c r="A218"/>
      <c r="B218"/>
      <c r="C218"/>
      <c r="D218"/>
      <c r="E218"/>
      <c r="F218"/>
    </row>
    <row r="219" spans="1:6" x14ac:dyDescent="0.4">
      <c r="A219"/>
      <c r="B219"/>
      <c r="C219"/>
      <c r="D219"/>
      <c r="E219"/>
      <c r="F219"/>
    </row>
    <row r="220" spans="1:6" x14ac:dyDescent="0.4">
      <c r="A220"/>
      <c r="B220"/>
      <c r="C220"/>
      <c r="D220"/>
      <c r="E220"/>
      <c r="F220"/>
    </row>
    <row r="221" spans="1:6" x14ac:dyDescent="0.4">
      <c r="A221"/>
      <c r="B221"/>
      <c r="C221"/>
      <c r="D221"/>
      <c r="E221"/>
      <c r="F221"/>
    </row>
    <row r="222" spans="1:6" x14ac:dyDescent="0.4">
      <c r="A222"/>
      <c r="B222"/>
      <c r="C222"/>
      <c r="D222"/>
      <c r="E222"/>
      <c r="F222"/>
    </row>
    <row r="223" spans="1:6" x14ac:dyDescent="0.4">
      <c r="A223"/>
      <c r="B223"/>
      <c r="C223"/>
      <c r="D223"/>
      <c r="E223"/>
      <c r="F223"/>
    </row>
    <row r="224" spans="1:6" x14ac:dyDescent="0.4">
      <c r="A224"/>
      <c r="B224"/>
      <c r="C224"/>
      <c r="D224"/>
      <c r="E224"/>
      <c r="F224"/>
    </row>
    <row r="225" spans="1:6" x14ac:dyDescent="0.4">
      <c r="A225"/>
      <c r="B225"/>
      <c r="C225"/>
      <c r="D225"/>
      <c r="E225"/>
      <c r="F225"/>
    </row>
    <row r="226" spans="1:6" x14ac:dyDescent="0.4">
      <c r="A226"/>
      <c r="B226"/>
      <c r="C226"/>
      <c r="D226"/>
      <c r="E226"/>
      <c r="F226"/>
    </row>
    <row r="227" spans="1:6" x14ac:dyDescent="0.4">
      <c r="A227"/>
      <c r="B227"/>
      <c r="C227"/>
      <c r="D227"/>
      <c r="E227"/>
      <c r="F227"/>
    </row>
    <row r="228" spans="1:6" x14ac:dyDescent="0.4">
      <c r="A228"/>
      <c r="B228"/>
      <c r="C228"/>
      <c r="D228"/>
      <c r="E228"/>
      <c r="F228"/>
    </row>
    <row r="229" spans="1:6" x14ac:dyDescent="0.4">
      <c r="A229"/>
      <c r="B229"/>
      <c r="C229"/>
      <c r="D229"/>
      <c r="E229"/>
      <c r="F229"/>
    </row>
    <row r="230" spans="1:6" x14ac:dyDescent="0.4">
      <c r="A230"/>
      <c r="B230"/>
      <c r="C230"/>
      <c r="D230"/>
      <c r="E230"/>
      <c r="F230"/>
    </row>
    <row r="231" spans="1:6" x14ac:dyDescent="0.4">
      <c r="A231"/>
      <c r="B231"/>
      <c r="C231"/>
      <c r="D231"/>
      <c r="E231"/>
      <c r="F231"/>
    </row>
    <row r="232" spans="1:6" x14ac:dyDescent="0.4">
      <c r="A232"/>
      <c r="B232"/>
      <c r="C232"/>
      <c r="D232"/>
      <c r="E232"/>
      <c r="F232"/>
    </row>
    <row r="233" spans="1:6" x14ac:dyDescent="0.4">
      <c r="A233"/>
      <c r="B233"/>
      <c r="C233"/>
      <c r="D233"/>
      <c r="E233"/>
      <c r="F233"/>
    </row>
    <row r="234" spans="1:6" x14ac:dyDescent="0.4">
      <c r="A234"/>
      <c r="B234"/>
      <c r="C234"/>
      <c r="D234"/>
      <c r="E234"/>
      <c r="F234"/>
    </row>
    <row r="235" spans="1:6" x14ac:dyDescent="0.4">
      <c r="A235"/>
      <c r="B235"/>
      <c r="C235"/>
      <c r="D235"/>
      <c r="E235"/>
      <c r="F235"/>
    </row>
    <row r="236" spans="1:6" x14ac:dyDescent="0.4">
      <c r="A236"/>
      <c r="B236"/>
      <c r="C236"/>
      <c r="D236"/>
      <c r="E236"/>
      <c r="F236"/>
    </row>
    <row r="237" spans="1:6" x14ac:dyDescent="0.4">
      <c r="A237"/>
      <c r="B237"/>
      <c r="C237"/>
      <c r="D237"/>
      <c r="E237"/>
      <c r="F237"/>
    </row>
    <row r="238" spans="1:6" x14ac:dyDescent="0.4">
      <c r="A238"/>
      <c r="B238"/>
      <c r="C238"/>
      <c r="D238"/>
      <c r="E238"/>
      <c r="F238"/>
    </row>
    <row r="239" spans="1:6" x14ac:dyDescent="0.4">
      <c r="A239"/>
      <c r="B239"/>
      <c r="C239"/>
      <c r="D239"/>
      <c r="E239"/>
      <c r="F239"/>
    </row>
    <row r="240" spans="1:6" x14ac:dyDescent="0.4">
      <c r="A240"/>
      <c r="B240"/>
      <c r="C240"/>
      <c r="D240"/>
      <c r="E240"/>
      <c r="F240"/>
    </row>
    <row r="241" spans="1:6" x14ac:dyDescent="0.4">
      <c r="A241"/>
      <c r="B241"/>
      <c r="C241"/>
      <c r="D241"/>
      <c r="E241"/>
      <c r="F241"/>
    </row>
    <row r="242" spans="1:6" x14ac:dyDescent="0.4">
      <c r="A242"/>
      <c r="B242"/>
      <c r="C242"/>
      <c r="D242"/>
      <c r="E242"/>
      <c r="F242"/>
    </row>
    <row r="243" spans="1:6" x14ac:dyDescent="0.4">
      <c r="A243"/>
      <c r="B243"/>
      <c r="C243"/>
      <c r="D243"/>
      <c r="E243"/>
      <c r="F243"/>
    </row>
    <row r="244" spans="1:6" x14ac:dyDescent="0.4">
      <c r="A244"/>
      <c r="B244"/>
      <c r="C244"/>
      <c r="D244"/>
      <c r="E244"/>
      <c r="F244"/>
    </row>
    <row r="245" spans="1:6" x14ac:dyDescent="0.4">
      <c r="A245"/>
      <c r="B245"/>
      <c r="C245"/>
      <c r="D245"/>
      <c r="E245"/>
      <c r="F245"/>
    </row>
    <row r="246" spans="1:6" x14ac:dyDescent="0.4">
      <c r="A246"/>
      <c r="B246"/>
      <c r="C246"/>
      <c r="D246"/>
      <c r="E246"/>
      <c r="F246"/>
    </row>
    <row r="247" spans="1:6" x14ac:dyDescent="0.4">
      <c r="A247"/>
      <c r="B247"/>
      <c r="C247"/>
      <c r="D247"/>
      <c r="E247"/>
      <c r="F247"/>
    </row>
    <row r="248" spans="1:6" x14ac:dyDescent="0.4">
      <c r="A248"/>
      <c r="B248"/>
      <c r="C248"/>
      <c r="D248"/>
      <c r="E248"/>
      <c r="F248"/>
    </row>
    <row r="249" spans="1:6" x14ac:dyDescent="0.4">
      <c r="A249"/>
      <c r="B249"/>
      <c r="C249"/>
      <c r="D249"/>
      <c r="E249"/>
      <c r="F249"/>
    </row>
    <row r="250" spans="1:6" x14ac:dyDescent="0.4">
      <c r="A250"/>
      <c r="B250"/>
      <c r="C250"/>
      <c r="D250"/>
      <c r="E250"/>
      <c r="F250"/>
    </row>
    <row r="251" spans="1:6" x14ac:dyDescent="0.4">
      <c r="A251"/>
      <c r="B251"/>
      <c r="C251"/>
      <c r="D251"/>
      <c r="E251"/>
      <c r="F251"/>
    </row>
    <row r="252" spans="1:6" x14ac:dyDescent="0.4">
      <c r="A252"/>
      <c r="B252"/>
      <c r="C252"/>
      <c r="D252"/>
      <c r="E252"/>
      <c r="F252"/>
    </row>
    <row r="253" spans="1:6" x14ac:dyDescent="0.4">
      <c r="A253"/>
      <c r="B253"/>
      <c r="C253"/>
      <c r="D253"/>
      <c r="E253"/>
      <c r="F253"/>
    </row>
    <row r="254" spans="1:6" x14ac:dyDescent="0.4">
      <c r="A254"/>
      <c r="B254"/>
      <c r="C254"/>
      <c r="D254"/>
      <c r="E254"/>
      <c r="F254"/>
    </row>
    <row r="255" spans="1:6" x14ac:dyDescent="0.4">
      <c r="A255"/>
      <c r="B255"/>
      <c r="C255"/>
      <c r="D255"/>
      <c r="E255"/>
      <c r="F255"/>
    </row>
    <row r="256" spans="1:6" x14ac:dyDescent="0.4">
      <c r="A256"/>
      <c r="B256"/>
      <c r="C256"/>
      <c r="D256"/>
      <c r="E256"/>
      <c r="F256"/>
    </row>
    <row r="257" spans="1:6" x14ac:dyDescent="0.4">
      <c r="A257"/>
      <c r="B257"/>
      <c r="C257"/>
      <c r="D257"/>
      <c r="E257"/>
      <c r="F257"/>
    </row>
    <row r="258" spans="1:6" x14ac:dyDescent="0.4">
      <c r="A258"/>
      <c r="B258"/>
      <c r="C258"/>
      <c r="D258"/>
      <c r="E258"/>
      <c r="F258"/>
    </row>
    <row r="259" spans="1:6" x14ac:dyDescent="0.4">
      <c r="A259"/>
      <c r="B259"/>
      <c r="C259"/>
      <c r="D259"/>
      <c r="E259"/>
      <c r="F259"/>
    </row>
    <row r="260" spans="1:6" x14ac:dyDescent="0.4">
      <c r="A260"/>
      <c r="B260"/>
      <c r="C260"/>
      <c r="D260"/>
      <c r="E260"/>
      <c r="F260"/>
    </row>
    <row r="261" spans="1:6" x14ac:dyDescent="0.4">
      <c r="A261"/>
      <c r="B261"/>
      <c r="C261"/>
      <c r="D261"/>
      <c r="E261"/>
      <c r="F261"/>
    </row>
    <row r="262" spans="1:6" x14ac:dyDescent="0.4">
      <c r="A262"/>
      <c r="B262"/>
      <c r="C262"/>
      <c r="D262"/>
      <c r="E262"/>
      <c r="F262"/>
    </row>
    <row r="263" spans="1:6" x14ac:dyDescent="0.4">
      <c r="A263"/>
      <c r="B263"/>
      <c r="C263"/>
      <c r="D263"/>
      <c r="E263"/>
      <c r="F263"/>
    </row>
    <row r="264" spans="1:6" x14ac:dyDescent="0.4">
      <c r="A264"/>
      <c r="B264"/>
      <c r="C264"/>
      <c r="D264"/>
      <c r="E264"/>
      <c r="F264"/>
    </row>
    <row r="265" spans="1:6" x14ac:dyDescent="0.4">
      <c r="A265"/>
      <c r="B265"/>
      <c r="C265"/>
      <c r="D265"/>
      <c r="E265"/>
      <c r="F265"/>
    </row>
    <row r="266" spans="1:6" x14ac:dyDescent="0.4">
      <c r="A266"/>
      <c r="B266"/>
      <c r="C266"/>
      <c r="D266"/>
      <c r="E266"/>
      <c r="F266"/>
    </row>
    <row r="267" spans="1:6" x14ac:dyDescent="0.4">
      <c r="A267"/>
      <c r="B267"/>
      <c r="C267"/>
      <c r="D267"/>
      <c r="E267"/>
      <c r="F267"/>
    </row>
    <row r="268" spans="1:6" x14ac:dyDescent="0.4">
      <c r="A268"/>
      <c r="B268"/>
      <c r="C268"/>
      <c r="D268"/>
      <c r="E268"/>
      <c r="F268"/>
    </row>
    <row r="269" spans="1:6" x14ac:dyDescent="0.4">
      <c r="A269"/>
      <c r="B269"/>
      <c r="C269"/>
      <c r="D269"/>
      <c r="E269"/>
      <c r="F269"/>
    </row>
    <row r="270" spans="1:6" x14ac:dyDescent="0.4">
      <c r="A270"/>
      <c r="B270"/>
      <c r="C270"/>
      <c r="D270"/>
      <c r="E270"/>
      <c r="F270"/>
    </row>
    <row r="271" spans="1:6" x14ac:dyDescent="0.4">
      <c r="A271"/>
      <c r="B271"/>
      <c r="C271"/>
      <c r="D271"/>
      <c r="E271"/>
      <c r="F271"/>
    </row>
    <row r="272" spans="1:6" x14ac:dyDescent="0.4">
      <c r="A272"/>
      <c r="B272"/>
      <c r="C272"/>
      <c r="D272"/>
      <c r="E272"/>
      <c r="F272"/>
    </row>
    <row r="273" spans="1:6" x14ac:dyDescent="0.4">
      <c r="A273"/>
      <c r="B273"/>
      <c r="C273"/>
      <c r="D273"/>
      <c r="E273"/>
      <c r="F273"/>
    </row>
    <row r="274" spans="1:6" x14ac:dyDescent="0.4">
      <c r="A274"/>
      <c r="B274"/>
      <c r="C274"/>
      <c r="D274"/>
      <c r="E274"/>
      <c r="F274"/>
    </row>
    <row r="275" spans="1:6" x14ac:dyDescent="0.4">
      <c r="A275"/>
      <c r="B275"/>
      <c r="C275"/>
      <c r="D275"/>
      <c r="E275"/>
      <c r="F275"/>
    </row>
    <row r="276" spans="1:6" x14ac:dyDescent="0.4">
      <c r="A276"/>
      <c r="B276"/>
      <c r="C276"/>
      <c r="D276"/>
      <c r="E276"/>
      <c r="F276"/>
    </row>
    <row r="277" spans="1:6" x14ac:dyDescent="0.4">
      <c r="A277"/>
      <c r="B277"/>
      <c r="C277"/>
      <c r="D277"/>
      <c r="E277"/>
      <c r="F277"/>
    </row>
    <row r="278" spans="1:6" x14ac:dyDescent="0.4">
      <c r="A278"/>
      <c r="B278"/>
      <c r="C278"/>
      <c r="D278"/>
      <c r="E278"/>
      <c r="F278"/>
    </row>
    <row r="279" spans="1:6" x14ac:dyDescent="0.4">
      <c r="A279"/>
      <c r="B279"/>
      <c r="C279"/>
      <c r="D279"/>
      <c r="E279"/>
      <c r="F279"/>
    </row>
    <row r="280" spans="1:6" x14ac:dyDescent="0.4">
      <c r="A280"/>
      <c r="B280"/>
      <c r="C280"/>
      <c r="D280"/>
      <c r="E280"/>
      <c r="F280"/>
    </row>
    <row r="281" spans="1:6" x14ac:dyDescent="0.4">
      <c r="A281"/>
      <c r="B281"/>
      <c r="C281"/>
      <c r="D281"/>
      <c r="E281"/>
      <c r="F281"/>
    </row>
    <row r="282" spans="1:6" x14ac:dyDescent="0.4">
      <c r="A282"/>
      <c r="B282"/>
      <c r="C282"/>
      <c r="D282"/>
      <c r="E282"/>
      <c r="F282"/>
    </row>
    <row r="283" spans="1:6" x14ac:dyDescent="0.4">
      <c r="A283"/>
      <c r="B283"/>
      <c r="C283"/>
      <c r="D283"/>
      <c r="E283"/>
      <c r="F283"/>
    </row>
    <row r="284" spans="1:6" x14ac:dyDescent="0.4">
      <c r="A284"/>
      <c r="B284"/>
      <c r="C284"/>
      <c r="D284"/>
      <c r="E284"/>
      <c r="F284"/>
    </row>
    <row r="285" spans="1:6" x14ac:dyDescent="0.4">
      <c r="A285"/>
      <c r="B285"/>
      <c r="C285"/>
      <c r="D285"/>
      <c r="E285"/>
      <c r="F285"/>
    </row>
    <row r="286" spans="1:6" x14ac:dyDescent="0.4">
      <c r="A286"/>
      <c r="B286"/>
      <c r="C286"/>
      <c r="D286"/>
      <c r="E286"/>
      <c r="F286"/>
    </row>
    <row r="287" spans="1:6" x14ac:dyDescent="0.4">
      <c r="A287"/>
      <c r="B287"/>
      <c r="C287"/>
      <c r="D287"/>
      <c r="E287"/>
      <c r="F287"/>
    </row>
    <row r="288" spans="1:6" x14ac:dyDescent="0.4">
      <c r="A288"/>
      <c r="B288"/>
      <c r="C288"/>
      <c r="D288"/>
      <c r="E288"/>
      <c r="F288"/>
    </row>
    <row r="289" spans="1:6" x14ac:dyDescent="0.4">
      <c r="A289"/>
      <c r="B289"/>
      <c r="C289"/>
      <c r="D289"/>
      <c r="E289"/>
      <c r="F289"/>
    </row>
    <row r="290" spans="1:6" x14ac:dyDescent="0.4">
      <c r="A290"/>
      <c r="B290"/>
      <c r="C290"/>
      <c r="D290"/>
      <c r="E290"/>
      <c r="F290"/>
    </row>
    <row r="291" spans="1:6" x14ac:dyDescent="0.4">
      <c r="A291"/>
      <c r="B291"/>
      <c r="C291"/>
      <c r="D291"/>
      <c r="E291"/>
      <c r="F291"/>
    </row>
    <row r="292" spans="1:6" x14ac:dyDescent="0.4">
      <c r="A292"/>
      <c r="B292"/>
      <c r="C292"/>
      <c r="D292"/>
      <c r="E292"/>
      <c r="F292"/>
    </row>
    <row r="293" spans="1:6" x14ac:dyDescent="0.4">
      <c r="A293"/>
      <c r="B293"/>
      <c r="C293"/>
      <c r="D293"/>
      <c r="E293"/>
      <c r="F293"/>
    </row>
    <row r="294" spans="1:6" x14ac:dyDescent="0.4">
      <c r="A294"/>
      <c r="B294"/>
      <c r="C294"/>
      <c r="D294"/>
      <c r="E294"/>
      <c r="F294"/>
    </row>
    <row r="295" spans="1:6" x14ac:dyDescent="0.4">
      <c r="A295"/>
      <c r="B295"/>
      <c r="C295"/>
      <c r="D295"/>
      <c r="E295"/>
      <c r="F295"/>
    </row>
    <row r="296" spans="1:6" x14ac:dyDescent="0.4">
      <c r="A296"/>
      <c r="B296"/>
      <c r="C296"/>
      <c r="D296"/>
      <c r="E296"/>
      <c r="F296"/>
    </row>
    <row r="297" spans="1:6" x14ac:dyDescent="0.4">
      <c r="A297"/>
      <c r="B297"/>
      <c r="C297"/>
      <c r="D297"/>
      <c r="E297"/>
      <c r="F297"/>
    </row>
    <row r="298" spans="1:6" x14ac:dyDescent="0.4">
      <c r="A298"/>
      <c r="B298"/>
      <c r="C298"/>
      <c r="D298"/>
      <c r="E298"/>
      <c r="F298"/>
    </row>
    <row r="299" spans="1:6" x14ac:dyDescent="0.4">
      <c r="A299"/>
      <c r="B299"/>
      <c r="C299"/>
      <c r="D299"/>
      <c r="E299"/>
      <c r="F299"/>
    </row>
    <row r="300" spans="1:6" x14ac:dyDescent="0.4">
      <c r="A300"/>
      <c r="B300"/>
      <c r="C300"/>
      <c r="D300"/>
      <c r="E300"/>
      <c r="F300"/>
    </row>
    <row r="301" spans="1:6" x14ac:dyDescent="0.4">
      <c r="A301"/>
      <c r="B301"/>
      <c r="C301"/>
      <c r="D301"/>
      <c r="E301"/>
      <c r="F301"/>
    </row>
    <row r="302" spans="1:6" x14ac:dyDescent="0.4">
      <c r="A302"/>
      <c r="B302"/>
      <c r="C302"/>
      <c r="D302"/>
      <c r="E302"/>
      <c r="F302"/>
    </row>
    <row r="303" spans="1:6" x14ac:dyDescent="0.4">
      <c r="A303"/>
      <c r="B303"/>
      <c r="C303"/>
      <c r="D303"/>
      <c r="E303"/>
      <c r="F303"/>
    </row>
    <row r="304" spans="1:6" x14ac:dyDescent="0.4">
      <c r="A304"/>
      <c r="B304"/>
      <c r="C304"/>
      <c r="D304"/>
      <c r="E304"/>
      <c r="F304"/>
    </row>
    <row r="305" spans="1:6" x14ac:dyDescent="0.4">
      <c r="A305"/>
      <c r="B305"/>
      <c r="C305"/>
      <c r="D305"/>
      <c r="E305"/>
      <c r="F305"/>
    </row>
    <row r="306" spans="1:6" x14ac:dyDescent="0.4">
      <c r="A306"/>
      <c r="B306"/>
      <c r="C306"/>
      <c r="D306"/>
      <c r="E306"/>
      <c r="F306"/>
    </row>
    <row r="307" spans="1:6" x14ac:dyDescent="0.4">
      <c r="A307"/>
      <c r="B307"/>
      <c r="C307"/>
      <c r="D307"/>
      <c r="E307"/>
      <c r="F307"/>
    </row>
    <row r="308" spans="1:6" x14ac:dyDescent="0.4">
      <c r="A308"/>
      <c r="B308"/>
      <c r="C308"/>
      <c r="D308"/>
      <c r="E308"/>
      <c r="F308"/>
    </row>
    <row r="309" spans="1:6" x14ac:dyDescent="0.4">
      <c r="A309"/>
      <c r="B309"/>
      <c r="C309"/>
      <c r="D309"/>
      <c r="E309"/>
      <c r="F309"/>
    </row>
    <row r="310" spans="1:6" x14ac:dyDescent="0.4">
      <c r="A310"/>
      <c r="B310"/>
      <c r="C310"/>
      <c r="D310"/>
      <c r="E310"/>
      <c r="F310"/>
    </row>
    <row r="311" spans="1:6" x14ac:dyDescent="0.4">
      <c r="A311"/>
      <c r="B311"/>
      <c r="C311"/>
      <c r="D311"/>
      <c r="E311"/>
      <c r="F311"/>
    </row>
    <row r="312" spans="1:6" x14ac:dyDescent="0.4">
      <c r="A312"/>
      <c r="B312"/>
      <c r="C312"/>
      <c r="D312"/>
      <c r="E312"/>
      <c r="F312"/>
    </row>
    <row r="313" spans="1:6" x14ac:dyDescent="0.4">
      <c r="A313"/>
      <c r="B313"/>
      <c r="C313"/>
      <c r="D313"/>
      <c r="E313"/>
      <c r="F313"/>
    </row>
    <row r="314" spans="1:6" x14ac:dyDescent="0.4">
      <c r="A314"/>
      <c r="B314"/>
      <c r="C314"/>
      <c r="D314"/>
      <c r="E314"/>
      <c r="F314"/>
    </row>
    <row r="315" spans="1:6" x14ac:dyDescent="0.4">
      <c r="A315"/>
      <c r="B315"/>
      <c r="C315"/>
      <c r="D315"/>
      <c r="E315"/>
      <c r="F315"/>
    </row>
    <row r="316" spans="1:6" x14ac:dyDescent="0.4">
      <c r="A316"/>
      <c r="B316"/>
      <c r="C316"/>
      <c r="D316"/>
      <c r="E316"/>
      <c r="F316"/>
    </row>
    <row r="317" spans="1:6" x14ac:dyDescent="0.4">
      <c r="A317"/>
      <c r="B317"/>
      <c r="C317"/>
      <c r="D317"/>
      <c r="E317"/>
      <c r="F317"/>
    </row>
    <row r="318" spans="1:6" x14ac:dyDescent="0.4">
      <c r="A318"/>
      <c r="B318"/>
      <c r="C318"/>
      <c r="D318"/>
      <c r="E318"/>
      <c r="F318"/>
    </row>
    <row r="319" spans="1:6" x14ac:dyDescent="0.4">
      <c r="A319"/>
      <c r="B319"/>
      <c r="C319"/>
      <c r="D319"/>
      <c r="E319"/>
      <c r="F319"/>
    </row>
    <row r="320" spans="1:6" x14ac:dyDescent="0.4">
      <c r="A320"/>
      <c r="B320"/>
      <c r="C320"/>
      <c r="D320"/>
      <c r="E320"/>
      <c r="F320"/>
    </row>
    <row r="321" spans="1:6" x14ac:dyDescent="0.4">
      <c r="A321"/>
      <c r="B321"/>
      <c r="C321"/>
      <c r="D321"/>
      <c r="E321"/>
      <c r="F321"/>
    </row>
    <row r="322" spans="1:6" x14ac:dyDescent="0.4">
      <c r="A322"/>
      <c r="B322"/>
      <c r="C322"/>
      <c r="D322"/>
      <c r="E322"/>
      <c r="F322"/>
    </row>
    <row r="323" spans="1:6" x14ac:dyDescent="0.4">
      <c r="A323"/>
      <c r="B323"/>
      <c r="C323"/>
      <c r="D323"/>
      <c r="E323"/>
      <c r="F323"/>
    </row>
    <row r="324" spans="1:6" x14ac:dyDescent="0.4">
      <c r="A324"/>
      <c r="B324"/>
      <c r="C324"/>
      <c r="D324"/>
      <c r="E324"/>
      <c r="F324"/>
    </row>
    <row r="325" spans="1:6" x14ac:dyDescent="0.4">
      <c r="A325"/>
      <c r="B325"/>
      <c r="C325"/>
      <c r="D325"/>
      <c r="E325"/>
      <c r="F325"/>
    </row>
    <row r="326" spans="1:6" x14ac:dyDescent="0.4">
      <c r="A326"/>
      <c r="B326"/>
      <c r="C326"/>
      <c r="D326"/>
      <c r="E326"/>
      <c r="F326"/>
    </row>
    <row r="327" spans="1:6" x14ac:dyDescent="0.4">
      <c r="A327"/>
      <c r="B327"/>
      <c r="C327"/>
      <c r="D327"/>
      <c r="E327"/>
      <c r="F327"/>
    </row>
    <row r="328" spans="1:6" x14ac:dyDescent="0.4">
      <c r="A328"/>
      <c r="B328"/>
      <c r="C328"/>
      <c r="D328"/>
      <c r="E328"/>
      <c r="F328"/>
    </row>
    <row r="329" spans="1:6" x14ac:dyDescent="0.4">
      <c r="A329"/>
      <c r="B329"/>
      <c r="C329"/>
      <c r="D329"/>
      <c r="E329"/>
      <c r="F329"/>
    </row>
    <row r="330" spans="1:6" x14ac:dyDescent="0.4">
      <c r="A330"/>
      <c r="B330"/>
      <c r="C330"/>
      <c r="D330"/>
      <c r="E330"/>
      <c r="F330"/>
    </row>
    <row r="331" spans="1:6" x14ac:dyDescent="0.4">
      <c r="A331"/>
      <c r="B331"/>
      <c r="C331"/>
      <c r="D331"/>
      <c r="E331"/>
      <c r="F331"/>
    </row>
    <row r="332" spans="1:6" x14ac:dyDescent="0.4">
      <c r="A332"/>
      <c r="B332"/>
      <c r="C332"/>
      <c r="D332"/>
      <c r="E332"/>
      <c r="F332"/>
    </row>
    <row r="333" spans="1:6" x14ac:dyDescent="0.4">
      <c r="A333"/>
      <c r="B333"/>
      <c r="C333"/>
      <c r="D333"/>
      <c r="E333"/>
      <c r="F333"/>
    </row>
    <row r="334" spans="1:6" x14ac:dyDescent="0.4">
      <c r="A334"/>
      <c r="B334"/>
      <c r="C334"/>
      <c r="D334"/>
      <c r="E334"/>
      <c r="F334"/>
    </row>
    <row r="335" spans="1:6" x14ac:dyDescent="0.4">
      <c r="A335"/>
      <c r="B335"/>
      <c r="C335"/>
      <c r="D335"/>
      <c r="E335"/>
      <c r="F335"/>
    </row>
    <row r="336" spans="1:6" x14ac:dyDescent="0.4">
      <c r="A336"/>
      <c r="B336"/>
      <c r="C336"/>
      <c r="D336"/>
      <c r="E336"/>
      <c r="F336"/>
    </row>
    <row r="337" spans="1:6" x14ac:dyDescent="0.4">
      <c r="A337"/>
      <c r="B337"/>
      <c r="C337"/>
      <c r="D337"/>
      <c r="E337"/>
      <c r="F337"/>
    </row>
    <row r="338" spans="1:6" x14ac:dyDescent="0.4">
      <c r="A338"/>
      <c r="B338"/>
      <c r="C338"/>
      <c r="D338"/>
      <c r="E338"/>
      <c r="F338"/>
    </row>
    <row r="339" spans="1:6" x14ac:dyDescent="0.4">
      <c r="A339"/>
      <c r="B339"/>
      <c r="C339"/>
      <c r="D339"/>
      <c r="E339"/>
      <c r="F339"/>
    </row>
    <row r="340" spans="1:6" x14ac:dyDescent="0.4">
      <c r="A340"/>
      <c r="B340"/>
      <c r="C340"/>
      <c r="D340"/>
      <c r="E340"/>
      <c r="F340"/>
    </row>
    <row r="341" spans="1:6" x14ac:dyDescent="0.4">
      <c r="A341"/>
      <c r="B341"/>
      <c r="C341"/>
      <c r="D341"/>
      <c r="E341"/>
      <c r="F341"/>
    </row>
    <row r="342" spans="1:6" x14ac:dyDescent="0.4">
      <c r="A342"/>
      <c r="B342"/>
      <c r="C342"/>
      <c r="D342"/>
      <c r="E342"/>
      <c r="F342"/>
    </row>
    <row r="343" spans="1:6" x14ac:dyDescent="0.4">
      <c r="A343"/>
      <c r="B343"/>
      <c r="C343"/>
      <c r="D343"/>
      <c r="E343"/>
      <c r="F343"/>
    </row>
    <row r="344" spans="1:6" x14ac:dyDescent="0.4">
      <c r="A344"/>
      <c r="B344"/>
      <c r="C344"/>
      <c r="D344"/>
      <c r="E344"/>
      <c r="F344"/>
    </row>
    <row r="345" spans="1:6" x14ac:dyDescent="0.4">
      <c r="A345"/>
      <c r="B345"/>
      <c r="C345"/>
      <c r="D345"/>
      <c r="E345"/>
      <c r="F345"/>
    </row>
    <row r="346" spans="1:6" x14ac:dyDescent="0.4">
      <c r="A346"/>
      <c r="B346"/>
      <c r="C346"/>
      <c r="D346"/>
      <c r="E346"/>
      <c r="F346"/>
    </row>
    <row r="347" spans="1:6" x14ac:dyDescent="0.4">
      <c r="A347"/>
      <c r="B347"/>
      <c r="C347"/>
      <c r="D347"/>
      <c r="E347"/>
      <c r="F347"/>
    </row>
    <row r="348" spans="1:6" x14ac:dyDescent="0.4">
      <c r="A348"/>
      <c r="B348"/>
      <c r="C348"/>
      <c r="D348"/>
      <c r="E348"/>
      <c r="F348"/>
    </row>
    <row r="349" spans="1:6" x14ac:dyDescent="0.4">
      <c r="A349"/>
      <c r="B349"/>
      <c r="C349"/>
      <c r="D349"/>
      <c r="E349"/>
      <c r="F349"/>
    </row>
    <row r="350" spans="1:6" x14ac:dyDescent="0.4">
      <c r="A350"/>
      <c r="B350"/>
      <c r="C350"/>
      <c r="D350"/>
      <c r="E350"/>
      <c r="F350"/>
    </row>
    <row r="351" spans="1:6" x14ac:dyDescent="0.4">
      <c r="A351"/>
      <c r="B351"/>
      <c r="C351"/>
      <c r="D351"/>
      <c r="E351"/>
      <c r="F351"/>
    </row>
    <row r="352" spans="1:6" x14ac:dyDescent="0.4">
      <c r="A352"/>
      <c r="B352"/>
      <c r="C352"/>
      <c r="D352"/>
      <c r="E352"/>
      <c r="F352"/>
    </row>
    <row r="353" spans="1:6" x14ac:dyDescent="0.4">
      <c r="A353"/>
      <c r="B353"/>
      <c r="C353"/>
      <c r="D353"/>
      <c r="E353"/>
      <c r="F353"/>
    </row>
    <row r="354" spans="1:6" x14ac:dyDescent="0.4">
      <c r="A354"/>
      <c r="B354"/>
      <c r="C354"/>
      <c r="D354"/>
      <c r="E354"/>
      <c r="F354"/>
    </row>
    <row r="355" spans="1:6" x14ac:dyDescent="0.4">
      <c r="A355"/>
      <c r="B355"/>
      <c r="C355"/>
      <c r="D355"/>
      <c r="E355"/>
      <c r="F355"/>
    </row>
    <row r="356" spans="1:6" x14ac:dyDescent="0.4">
      <c r="A356"/>
      <c r="B356"/>
      <c r="C356"/>
      <c r="D356"/>
      <c r="E356"/>
      <c r="F356"/>
    </row>
    <row r="357" spans="1:6" x14ac:dyDescent="0.4">
      <c r="A357"/>
      <c r="B357"/>
      <c r="C357"/>
      <c r="D357"/>
      <c r="E357"/>
      <c r="F357"/>
    </row>
    <row r="358" spans="1:6" x14ac:dyDescent="0.4">
      <c r="A358"/>
      <c r="B358"/>
      <c r="C358"/>
      <c r="D358"/>
      <c r="E358"/>
      <c r="F358"/>
    </row>
    <row r="359" spans="1:6" x14ac:dyDescent="0.4">
      <c r="A359"/>
      <c r="B359"/>
      <c r="C359"/>
      <c r="D359"/>
      <c r="E359"/>
      <c r="F359"/>
    </row>
    <row r="360" spans="1:6" x14ac:dyDescent="0.4">
      <c r="A360"/>
      <c r="B360"/>
      <c r="C360"/>
      <c r="D360"/>
      <c r="E360"/>
      <c r="F360"/>
    </row>
    <row r="361" spans="1:6" x14ac:dyDescent="0.4">
      <c r="A361"/>
      <c r="B361"/>
      <c r="C361"/>
      <c r="D361"/>
      <c r="E361"/>
      <c r="F361"/>
    </row>
    <row r="362" spans="1:6" x14ac:dyDescent="0.4">
      <c r="A362"/>
      <c r="B362"/>
      <c r="C362"/>
      <c r="D362"/>
      <c r="E362"/>
      <c r="F362"/>
    </row>
    <row r="363" spans="1:6" x14ac:dyDescent="0.4">
      <c r="A363"/>
      <c r="B363"/>
      <c r="C363"/>
      <c r="D363"/>
      <c r="E363"/>
      <c r="F363"/>
    </row>
    <row r="364" spans="1:6" x14ac:dyDescent="0.4">
      <c r="A364"/>
      <c r="B364"/>
      <c r="C364"/>
      <c r="D364"/>
      <c r="E364"/>
      <c r="F364"/>
    </row>
    <row r="365" spans="1:6" x14ac:dyDescent="0.4">
      <c r="A365"/>
      <c r="B365"/>
      <c r="C365"/>
      <c r="D365"/>
      <c r="E365"/>
      <c r="F365"/>
    </row>
    <row r="366" spans="1:6" x14ac:dyDescent="0.4">
      <c r="A366"/>
      <c r="B366"/>
      <c r="C366"/>
      <c r="D366"/>
      <c r="E366"/>
      <c r="F366"/>
    </row>
    <row r="367" spans="1:6" x14ac:dyDescent="0.4">
      <c r="A367"/>
      <c r="B367"/>
      <c r="C367"/>
      <c r="D367"/>
      <c r="E367"/>
      <c r="F367"/>
    </row>
    <row r="368" spans="1:6" x14ac:dyDescent="0.4">
      <c r="A368"/>
      <c r="B368"/>
      <c r="C368"/>
      <c r="D368"/>
      <c r="E368"/>
      <c r="F368"/>
    </row>
    <row r="369" spans="1:6" x14ac:dyDescent="0.4">
      <c r="A369"/>
      <c r="B369"/>
      <c r="C369"/>
      <c r="D369"/>
      <c r="E369"/>
      <c r="F369"/>
    </row>
    <row r="370" spans="1:6" x14ac:dyDescent="0.4">
      <c r="A370"/>
      <c r="B370"/>
      <c r="C370"/>
      <c r="D370"/>
      <c r="E370"/>
      <c r="F370"/>
    </row>
    <row r="371" spans="1:6" x14ac:dyDescent="0.4">
      <c r="A371"/>
      <c r="B371"/>
      <c r="C371"/>
      <c r="D371"/>
      <c r="E371"/>
      <c r="F371"/>
    </row>
    <row r="372" spans="1:6" x14ac:dyDescent="0.4">
      <c r="A372"/>
      <c r="B372"/>
      <c r="C372"/>
      <c r="D372"/>
      <c r="E372"/>
      <c r="F372"/>
    </row>
    <row r="373" spans="1:6" x14ac:dyDescent="0.4">
      <c r="A373"/>
      <c r="B373"/>
      <c r="C373"/>
      <c r="D373"/>
      <c r="E373"/>
      <c r="F373"/>
    </row>
    <row r="374" spans="1:6" x14ac:dyDescent="0.4">
      <c r="A374"/>
      <c r="B374"/>
      <c r="C374"/>
      <c r="D374"/>
      <c r="E374"/>
      <c r="F374"/>
    </row>
    <row r="375" spans="1:6" x14ac:dyDescent="0.4">
      <c r="A375"/>
      <c r="B375"/>
      <c r="C375"/>
      <c r="D375"/>
      <c r="E375"/>
      <c r="F375"/>
    </row>
    <row r="376" spans="1:6" x14ac:dyDescent="0.4">
      <c r="A376"/>
      <c r="B376"/>
      <c r="C376"/>
      <c r="D376"/>
      <c r="E376"/>
      <c r="F376"/>
    </row>
    <row r="377" spans="1:6" x14ac:dyDescent="0.4">
      <c r="A377"/>
      <c r="B377"/>
      <c r="C377"/>
      <c r="D377"/>
      <c r="E377"/>
      <c r="F377"/>
    </row>
    <row r="378" spans="1:6" x14ac:dyDescent="0.4">
      <c r="A378"/>
      <c r="B378"/>
      <c r="C378"/>
      <c r="D378"/>
      <c r="E378"/>
      <c r="F378"/>
    </row>
    <row r="379" spans="1:6" x14ac:dyDescent="0.4">
      <c r="A379"/>
      <c r="B379"/>
      <c r="C379"/>
      <c r="D379"/>
      <c r="E379"/>
      <c r="F379"/>
    </row>
    <row r="380" spans="1:6" x14ac:dyDescent="0.4">
      <c r="A380"/>
      <c r="B380"/>
      <c r="C380"/>
      <c r="D380"/>
      <c r="E380"/>
      <c r="F380"/>
    </row>
    <row r="381" spans="1:6" x14ac:dyDescent="0.4">
      <c r="A381"/>
      <c r="B381"/>
      <c r="C381"/>
      <c r="D381"/>
      <c r="E381"/>
      <c r="F381"/>
    </row>
    <row r="382" spans="1:6" x14ac:dyDescent="0.4">
      <c r="A382"/>
      <c r="B382"/>
      <c r="C382"/>
      <c r="D382"/>
      <c r="E382"/>
      <c r="F382"/>
    </row>
    <row r="383" spans="1:6" x14ac:dyDescent="0.4">
      <c r="A383"/>
      <c r="B383"/>
      <c r="C383"/>
      <c r="D383"/>
      <c r="E383"/>
      <c r="F383"/>
    </row>
    <row r="384" spans="1:6" x14ac:dyDescent="0.4">
      <c r="A384"/>
      <c r="B384"/>
      <c r="C384"/>
      <c r="D384"/>
      <c r="E384"/>
      <c r="F384"/>
    </row>
    <row r="385" spans="1:6" x14ac:dyDescent="0.4">
      <c r="A385"/>
      <c r="B385"/>
      <c r="C385"/>
      <c r="D385"/>
      <c r="E385"/>
      <c r="F385"/>
    </row>
    <row r="386" spans="1:6" x14ac:dyDescent="0.4">
      <c r="A386"/>
      <c r="B386"/>
      <c r="C386"/>
      <c r="D386"/>
      <c r="E386"/>
      <c r="F386"/>
    </row>
    <row r="387" spans="1:6" x14ac:dyDescent="0.4">
      <c r="A387"/>
      <c r="B387"/>
      <c r="C387"/>
      <c r="D387"/>
      <c r="E387"/>
      <c r="F387"/>
    </row>
    <row r="388" spans="1:6" x14ac:dyDescent="0.4">
      <c r="A388"/>
      <c r="B388"/>
      <c r="C388"/>
      <c r="D388"/>
      <c r="E388"/>
      <c r="F388"/>
    </row>
    <row r="389" spans="1:6" x14ac:dyDescent="0.4">
      <c r="A389"/>
      <c r="B389"/>
      <c r="C389"/>
      <c r="D389"/>
      <c r="E389"/>
      <c r="F389"/>
    </row>
    <row r="390" spans="1:6" x14ac:dyDescent="0.4">
      <c r="A390"/>
      <c r="B390"/>
      <c r="C390"/>
      <c r="D390"/>
      <c r="E390"/>
      <c r="F390"/>
    </row>
    <row r="391" spans="1:6" x14ac:dyDescent="0.4">
      <c r="A391"/>
      <c r="B391"/>
      <c r="C391"/>
      <c r="D391"/>
      <c r="E391"/>
      <c r="F391"/>
    </row>
    <row r="392" spans="1:6" x14ac:dyDescent="0.4">
      <c r="A392"/>
      <c r="B392"/>
      <c r="C392"/>
      <c r="D392"/>
      <c r="E392"/>
      <c r="F392"/>
    </row>
    <row r="393" spans="1:6" x14ac:dyDescent="0.4">
      <c r="A393"/>
      <c r="B393"/>
      <c r="C393"/>
      <c r="D393"/>
      <c r="E393"/>
      <c r="F393"/>
    </row>
    <row r="394" spans="1:6" x14ac:dyDescent="0.4">
      <c r="A394"/>
      <c r="B394"/>
      <c r="C394"/>
      <c r="D394"/>
      <c r="E394"/>
      <c r="F394"/>
    </row>
    <row r="395" spans="1:6" x14ac:dyDescent="0.4">
      <c r="A395"/>
      <c r="B395"/>
      <c r="C395"/>
      <c r="D395"/>
      <c r="E395"/>
      <c r="F395"/>
    </row>
    <row r="396" spans="1:6" x14ac:dyDescent="0.4">
      <c r="A396"/>
      <c r="B396"/>
      <c r="C396"/>
      <c r="D396"/>
      <c r="E396"/>
      <c r="F396"/>
    </row>
    <row r="397" spans="1:6" x14ac:dyDescent="0.4">
      <c r="A397"/>
      <c r="B397"/>
      <c r="C397"/>
      <c r="D397"/>
      <c r="E397"/>
      <c r="F397"/>
    </row>
    <row r="398" spans="1:6" x14ac:dyDescent="0.4">
      <c r="A398"/>
      <c r="B398"/>
      <c r="C398"/>
      <c r="D398"/>
      <c r="E398"/>
      <c r="F398"/>
    </row>
    <row r="399" spans="1:6" x14ac:dyDescent="0.4">
      <c r="A399"/>
      <c r="B399"/>
      <c r="C399"/>
      <c r="D399"/>
      <c r="E399"/>
      <c r="F399"/>
    </row>
    <row r="400" spans="1:6" x14ac:dyDescent="0.4">
      <c r="A400"/>
      <c r="B400"/>
      <c r="C400"/>
      <c r="D400"/>
      <c r="E400"/>
      <c r="F400"/>
    </row>
    <row r="401" spans="1:6" x14ac:dyDescent="0.4">
      <c r="A401"/>
      <c r="B401"/>
      <c r="C401"/>
      <c r="D401"/>
      <c r="E401"/>
      <c r="F401"/>
    </row>
    <row r="402" spans="1:6" x14ac:dyDescent="0.4">
      <c r="A402"/>
      <c r="B402"/>
      <c r="C402"/>
      <c r="D402"/>
      <c r="E402"/>
      <c r="F402"/>
    </row>
    <row r="403" spans="1:6" x14ac:dyDescent="0.4">
      <c r="A403"/>
      <c r="B403"/>
      <c r="C403"/>
      <c r="D403"/>
      <c r="E403"/>
      <c r="F403"/>
    </row>
    <row r="404" spans="1:6" x14ac:dyDescent="0.4">
      <c r="A404"/>
      <c r="B404"/>
      <c r="C404"/>
      <c r="D404"/>
      <c r="E404"/>
      <c r="F404"/>
    </row>
    <row r="405" spans="1:6" x14ac:dyDescent="0.4">
      <c r="A405"/>
      <c r="B405"/>
      <c r="C405"/>
      <c r="D405"/>
      <c r="E405"/>
      <c r="F405"/>
    </row>
    <row r="406" spans="1:6" x14ac:dyDescent="0.4">
      <c r="A406"/>
      <c r="B406"/>
      <c r="C406"/>
      <c r="D406"/>
      <c r="E406"/>
      <c r="F406"/>
    </row>
    <row r="407" spans="1:6" x14ac:dyDescent="0.4">
      <c r="A407"/>
      <c r="B407"/>
      <c r="C407"/>
      <c r="D407"/>
      <c r="E407"/>
      <c r="F407"/>
    </row>
    <row r="408" spans="1:6" x14ac:dyDescent="0.4">
      <c r="A408"/>
      <c r="B408"/>
      <c r="C408"/>
      <c r="D408"/>
      <c r="E408"/>
      <c r="F408"/>
    </row>
    <row r="409" spans="1:6" x14ac:dyDescent="0.4">
      <c r="A409"/>
      <c r="B409"/>
      <c r="C409"/>
      <c r="D409"/>
      <c r="E409"/>
      <c r="F409"/>
    </row>
    <row r="410" spans="1:6" x14ac:dyDescent="0.4">
      <c r="A410"/>
      <c r="B410"/>
      <c r="C410"/>
      <c r="D410"/>
      <c r="E410"/>
      <c r="F410"/>
    </row>
    <row r="411" spans="1:6" x14ac:dyDescent="0.4">
      <c r="A411"/>
      <c r="B411"/>
      <c r="C411"/>
      <c r="D411"/>
      <c r="E411"/>
      <c r="F411"/>
    </row>
    <row r="412" spans="1:6" x14ac:dyDescent="0.4">
      <c r="A412"/>
      <c r="B412"/>
      <c r="C412"/>
      <c r="D412"/>
      <c r="E412"/>
      <c r="F412"/>
    </row>
    <row r="413" spans="1:6" x14ac:dyDescent="0.4">
      <c r="A413"/>
      <c r="B413"/>
      <c r="C413"/>
      <c r="D413"/>
      <c r="E413"/>
      <c r="F413"/>
    </row>
    <row r="414" spans="1:6" x14ac:dyDescent="0.4">
      <c r="A414"/>
      <c r="B414"/>
      <c r="C414"/>
      <c r="D414"/>
      <c r="E414"/>
      <c r="F414"/>
    </row>
    <row r="415" spans="1:6" x14ac:dyDescent="0.4">
      <c r="A415"/>
      <c r="B415"/>
      <c r="C415"/>
      <c r="D415"/>
      <c r="E415"/>
      <c r="F415"/>
    </row>
    <row r="416" spans="1:6" x14ac:dyDescent="0.4">
      <c r="A416"/>
      <c r="B416"/>
      <c r="C416"/>
      <c r="D416"/>
      <c r="E416"/>
      <c r="F416"/>
    </row>
    <row r="417" spans="1:6" x14ac:dyDescent="0.4">
      <c r="A417"/>
      <c r="B417"/>
      <c r="C417"/>
      <c r="D417"/>
      <c r="E417"/>
      <c r="F417"/>
    </row>
    <row r="418" spans="1:6" x14ac:dyDescent="0.4">
      <c r="A418"/>
      <c r="B418"/>
      <c r="C418"/>
      <c r="D418"/>
      <c r="E418"/>
      <c r="F418"/>
    </row>
    <row r="419" spans="1:6" x14ac:dyDescent="0.4">
      <c r="A419"/>
      <c r="B419"/>
      <c r="C419"/>
      <c r="D419"/>
      <c r="E419"/>
      <c r="F419"/>
    </row>
    <row r="420" spans="1:6" x14ac:dyDescent="0.4">
      <c r="A420"/>
      <c r="B420"/>
      <c r="C420"/>
      <c r="D420"/>
      <c r="E420"/>
      <c r="F420"/>
    </row>
    <row r="421" spans="1:6" x14ac:dyDescent="0.4">
      <c r="A421"/>
      <c r="B421"/>
      <c r="C421"/>
      <c r="D421"/>
      <c r="E421"/>
      <c r="F421"/>
    </row>
    <row r="422" spans="1:6" x14ac:dyDescent="0.4">
      <c r="A422"/>
      <c r="B422"/>
      <c r="C422"/>
      <c r="D422"/>
      <c r="E422"/>
      <c r="F422"/>
    </row>
    <row r="423" spans="1:6" x14ac:dyDescent="0.4">
      <c r="A423"/>
      <c r="B423"/>
      <c r="C423"/>
      <c r="D423"/>
      <c r="E423"/>
      <c r="F423"/>
    </row>
    <row r="424" spans="1:6" x14ac:dyDescent="0.4">
      <c r="A424"/>
      <c r="B424"/>
      <c r="C424"/>
      <c r="D424"/>
      <c r="E424"/>
      <c r="F424"/>
    </row>
    <row r="425" spans="1:6" x14ac:dyDescent="0.4">
      <c r="A425"/>
      <c r="B425"/>
      <c r="C425"/>
      <c r="D425"/>
      <c r="E425"/>
      <c r="F425"/>
    </row>
    <row r="426" spans="1:6" x14ac:dyDescent="0.4">
      <c r="A426"/>
      <c r="B426"/>
      <c r="C426"/>
      <c r="D426"/>
      <c r="E426"/>
      <c r="F426"/>
    </row>
    <row r="427" spans="1:6" x14ac:dyDescent="0.4">
      <c r="A427"/>
      <c r="B427"/>
      <c r="C427"/>
      <c r="D427"/>
      <c r="E427"/>
      <c r="F427"/>
    </row>
    <row r="428" spans="1:6" x14ac:dyDescent="0.4">
      <c r="A428"/>
      <c r="B428"/>
      <c r="C428"/>
      <c r="D428"/>
      <c r="E428"/>
      <c r="F428"/>
    </row>
    <row r="429" spans="1:6" x14ac:dyDescent="0.4">
      <c r="A429"/>
      <c r="B429"/>
      <c r="C429"/>
      <c r="D429"/>
      <c r="E429"/>
      <c r="F429"/>
    </row>
    <row r="430" spans="1:6" x14ac:dyDescent="0.4">
      <c r="A430"/>
      <c r="B430"/>
      <c r="C430"/>
      <c r="D430"/>
      <c r="E430"/>
      <c r="F430"/>
    </row>
    <row r="431" spans="1:6" x14ac:dyDescent="0.4">
      <c r="A431"/>
      <c r="B431"/>
      <c r="C431"/>
      <c r="D431"/>
      <c r="E431"/>
      <c r="F431"/>
    </row>
    <row r="432" spans="1:6" x14ac:dyDescent="0.4">
      <c r="A432"/>
      <c r="B432"/>
      <c r="C432"/>
      <c r="D432"/>
      <c r="E432"/>
      <c r="F432"/>
    </row>
    <row r="433" spans="1:6" x14ac:dyDescent="0.4">
      <c r="A433"/>
      <c r="B433"/>
      <c r="C433"/>
      <c r="D433"/>
      <c r="E433"/>
      <c r="F433"/>
    </row>
    <row r="434" spans="1:6" x14ac:dyDescent="0.4">
      <c r="A434"/>
      <c r="B434"/>
      <c r="C434"/>
      <c r="D434"/>
      <c r="E434"/>
      <c r="F434"/>
    </row>
    <row r="435" spans="1:6" x14ac:dyDescent="0.4">
      <c r="A435"/>
      <c r="B435"/>
      <c r="C435"/>
      <c r="D435"/>
      <c r="E435"/>
      <c r="F435"/>
    </row>
    <row r="436" spans="1:6" x14ac:dyDescent="0.4">
      <c r="A436"/>
      <c r="B436"/>
      <c r="C436"/>
      <c r="D436"/>
      <c r="E436"/>
      <c r="F436"/>
    </row>
    <row r="437" spans="1:6" x14ac:dyDescent="0.4">
      <c r="A437"/>
      <c r="B437"/>
      <c r="C437"/>
      <c r="D437"/>
      <c r="E437"/>
      <c r="F437"/>
    </row>
    <row r="438" spans="1:6" x14ac:dyDescent="0.4">
      <c r="A438"/>
      <c r="B438"/>
      <c r="C438"/>
      <c r="D438"/>
      <c r="E438"/>
      <c r="F438"/>
    </row>
    <row r="439" spans="1:6" x14ac:dyDescent="0.4">
      <c r="A439"/>
      <c r="B439"/>
      <c r="C439"/>
      <c r="D439"/>
      <c r="E439"/>
      <c r="F439"/>
    </row>
    <row r="440" spans="1:6" x14ac:dyDescent="0.4">
      <c r="A440"/>
      <c r="B440"/>
      <c r="C440"/>
      <c r="D440"/>
      <c r="E440"/>
      <c r="F440"/>
    </row>
    <row r="441" spans="1:6" x14ac:dyDescent="0.4">
      <c r="A441"/>
      <c r="B441"/>
      <c r="C441"/>
      <c r="D441"/>
      <c r="E441"/>
      <c r="F441"/>
    </row>
    <row r="442" spans="1:6" x14ac:dyDescent="0.4">
      <c r="A442"/>
      <c r="B442"/>
      <c r="C442"/>
      <c r="D442"/>
      <c r="E442"/>
      <c r="F442"/>
    </row>
    <row r="443" spans="1:6" x14ac:dyDescent="0.4">
      <c r="A443"/>
      <c r="B443"/>
      <c r="C443"/>
      <c r="D443"/>
      <c r="E443"/>
      <c r="F443"/>
    </row>
    <row r="444" spans="1:6" x14ac:dyDescent="0.4">
      <c r="A444"/>
      <c r="B444"/>
      <c r="C444"/>
      <c r="D444"/>
      <c r="E444"/>
      <c r="F444"/>
    </row>
    <row r="445" spans="1:6" x14ac:dyDescent="0.4">
      <c r="A445"/>
      <c r="B445"/>
      <c r="C445"/>
      <c r="D445"/>
      <c r="E445"/>
      <c r="F445"/>
    </row>
    <row r="446" spans="1:6" x14ac:dyDescent="0.4">
      <c r="A446"/>
      <c r="B446"/>
      <c r="C446"/>
      <c r="D446"/>
      <c r="E446"/>
      <c r="F446"/>
    </row>
    <row r="447" spans="1:6" x14ac:dyDescent="0.4">
      <c r="A447"/>
      <c r="B447"/>
      <c r="C447"/>
      <c r="D447"/>
      <c r="E447"/>
      <c r="F447"/>
    </row>
    <row r="448" spans="1:6" x14ac:dyDescent="0.4">
      <c r="A448"/>
      <c r="B448"/>
      <c r="C448"/>
      <c r="D448"/>
      <c r="E448"/>
      <c r="F448"/>
    </row>
    <row r="449" spans="1:6" x14ac:dyDescent="0.4">
      <c r="A449"/>
      <c r="B449"/>
      <c r="C449"/>
      <c r="D449"/>
      <c r="E449"/>
      <c r="F449"/>
    </row>
    <row r="450" spans="1:6" x14ac:dyDescent="0.4">
      <c r="A450"/>
      <c r="B450"/>
      <c r="C450"/>
      <c r="D450"/>
      <c r="E450"/>
      <c r="F450"/>
    </row>
    <row r="451" spans="1:6" x14ac:dyDescent="0.4">
      <c r="A451"/>
      <c r="B451"/>
      <c r="C451"/>
      <c r="D451"/>
      <c r="E451"/>
      <c r="F451"/>
    </row>
    <row r="452" spans="1:6" x14ac:dyDescent="0.4">
      <c r="A452"/>
      <c r="B452"/>
      <c r="C452"/>
      <c r="D452"/>
      <c r="E452"/>
      <c r="F452"/>
    </row>
    <row r="453" spans="1:6" x14ac:dyDescent="0.4">
      <c r="A453"/>
      <c r="B453"/>
      <c r="C453"/>
      <c r="D453"/>
      <c r="E453"/>
      <c r="F453"/>
    </row>
    <row r="454" spans="1:6" x14ac:dyDescent="0.4">
      <c r="A454"/>
      <c r="B454"/>
      <c r="C454"/>
      <c r="D454"/>
      <c r="E454"/>
      <c r="F454"/>
    </row>
    <row r="455" spans="1:6" x14ac:dyDescent="0.4">
      <c r="A455"/>
      <c r="B455"/>
      <c r="C455"/>
      <c r="D455"/>
      <c r="E455"/>
      <c r="F455"/>
    </row>
    <row r="456" spans="1:6" x14ac:dyDescent="0.4">
      <c r="A456"/>
      <c r="B456"/>
      <c r="C456"/>
      <c r="D456"/>
      <c r="E456"/>
      <c r="F456"/>
    </row>
    <row r="457" spans="1:6" x14ac:dyDescent="0.4">
      <c r="A457"/>
      <c r="B457"/>
      <c r="C457"/>
      <c r="D457"/>
      <c r="E457"/>
      <c r="F457"/>
    </row>
    <row r="458" spans="1:6" x14ac:dyDescent="0.4">
      <c r="A458"/>
      <c r="B458"/>
      <c r="C458"/>
      <c r="D458"/>
      <c r="E458"/>
      <c r="F458"/>
    </row>
    <row r="459" spans="1:6" x14ac:dyDescent="0.4">
      <c r="A459"/>
      <c r="B459"/>
      <c r="C459"/>
      <c r="D459"/>
      <c r="E459"/>
      <c r="F459"/>
    </row>
    <row r="460" spans="1:6" x14ac:dyDescent="0.4">
      <c r="A460"/>
      <c r="B460"/>
      <c r="C460"/>
      <c r="D460"/>
      <c r="E460"/>
      <c r="F460"/>
    </row>
    <row r="461" spans="1:6" x14ac:dyDescent="0.4">
      <c r="A461"/>
      <c r="B461"/>
      <c r="C461"/>
      <c r="D461"/>
      <c r="E461"/>
      <c r="F461"/>
    </row>
    <row r="462" spans="1:6" x14ac:dyDescent="0.4">
      <c r="A462"/>
      <c r="B462"/>
      <c r="C462"/>
      <c r="D462"/>
      <c r="E462"/>
      <c r="F462"/>
    </row>
    <row r="463" spans="1:6" x14ac:dyDescent="0.4">
      <c r="A463"/>
      <c r="B463"/>
      <c r="C463"/>
      <c r="D463"/>
      <c r="E463"/>
      <c r="F463"/>
    </row>
    <row r="464" spans="1:6" x14ac:dyDescent="0.4">
      <c r="A464"/>
      <c r="B464"/>
      <c r="C464"/>
      <c r="D464"/>
      <c r="E464"/>
      <c r="F464"/>
    </row>
    <row r="465" spans="1:6" x14ac:dyDescent="0.4">
      <c r="A465"/>
      <c r="B465"/>
      <c r="C465"/>
      <c r="D465"/>
      <c r="E465"/>
      <c r="F465"/>
    </row>
    <row r="466" spans="1:6" x14ac:dyDescent="0.4">
      <c r="A466"/>
      <c r="B466"/>
      <c r="C466"/>
      <c r="D466"/>
      <c r="E466"/>
      <c r="F466"/>
    </row>
    <row r="467" spans="1:6" x14ac:dyDescent="0.4">
      <c r="A467"/>
      <c r="B467"/>
      <c r="C467"/>
      <c r="D467"/>
      <c r="E467"/>
      <c r="F467"/>
    </row>
    <row r="468" spans="1:6" x14ac:dyDescent="0.4">
      <c r="A468"/>
      <c r="B468"/>
      <c r="C468"/>
      <c r="D468"/>
      <c r="E468"/>
      <c r="F468"/>
    </row>
    <row r="469" spans="1:6" x14ac:dyDescent="0.4">
      <c r="A469"/>
      <c r="B469"/>
      <c r="C469"/>
      <c r="D469"/>
      <c r="E469"/>
      <c r="F469"/>
    </row>
    <row r="470" spans="1:6" x14ac:dyDescent="0.4">
      <c r="A470"/>
      <c r="B470"/>
      <c r="C470"/>
      <c r="D470"/>
      <c r="E470"/>
      <c r="F470"/>
    </row>
    <row r="471" spans="1:6" x14ac:dyDescent="0.4">
      <c r="A471"/>
      <c r="B471"/>
      <c r="C471"/>
      <c r="D471"/>
      <c r="E471"/>
      <c r="F471"/>
    </row>
    <row r="472" spans="1:6" x14ac:dyDescent="0.4">
      <c r="A472"/>
      <c r="B472"/>
      <c r="C472"/>
      <c r="D472"/>
      <c r="E472"/>
      <c r="F472"/>
    </row>
    <row r="473" spans="1:6" x14ac:dyDescent="0.4">
      <c r="A473"/>
      <c r="B473"/>
      <c r="C473"/>
      <c r="D473"/>
      <c r="E473"/>
      <c r="F473"/>
    </row>
    <row r="474" spans="1:6" x14ac:dyDescent="0.4">
      <c r="A474"/>
      <c r="B474"/>
      <c r="C474"/>
      <c r="D474"/>
      <c r="E474"/>
      <c r="F474"/>
    </row>
    <row r="475" spans="1:6" x14ac:dyDescent="0.4">
      <c r="A475"/>
      <c r="B475"/>
      <c r="C475"/>
      <c r="D475"/>
      <c r="E475"/>
      <c r="F475"/>
    </row>
    <row r="476" spans="1:6" x14ac:dyDescent="0.4">
      <c r="A476"/>
      <c r="B476"/>
      <c r="C476"/>
      <c r="D476"/>
      <c r="E476"/>
      <c r="F476"/>
    </row>
    <row r="477" spans="1:6" x14ac:dyDescent="0.4">
      <c r="A477"/>
      <c r="B477"/>
      <c r="C477"/>
      <c r="D477"/>
      <c r="E477"/>
      <c r="F477"/>
    </row>
    <row r="478" spans="1:6" x14ac:dyDescent="0.4">
      <c r="A478"/>
      <c r="B478"/>
      <c r="C478"/>
      <c r="D478"/>
      <c r="E478"/>
      <c r="F478"/>
    </row>
    <row r="479" spans="1:6" x14ac:dyDescent="0.4">
      <c r="A479"/>
      <c r="B479"/>
      <c r="C479"/>
      <c r="D479"/>
      <c r="E479"/>
      <c r="F479"/>
    </row>
    <row r="480" spans="1:6" x14ac:dyDescent="0.4">
      <c r="A480"/>
      <c r="B480"/>
      <c r="C480"/>
      <c r="D480"/>
      <c r="E480"/>
      <c r="F480"/>
    </row>
    <row r="481" spans="1:6" x14ac:dyDescent="0.4">
      <c r="A481"/>
      <c r="B481"/>
      <c r="C481"/>
      <c r="D481"/>
      <c r="E481"/>
      <c r="F481"/>
    </row>
    <row r="482" spans="1:6" x14ac:dyDescent="0.4">
      <c r="A482"/>
      <c r="B482"/>
      <c r="C482"/>
      <c r="D482"/>
      <c r="E482"/>
      <c r="F482"/>
    </row>
    <row r="483" spans="1:6" x14ac:dyDescent="0.4">
      <c r="A483"/>
      <c r="B483"/>
      <c r="C483"/>
      <c r="D483"/>
      <c r="E483"/>
      <c r="F483"/>
    </row>
    <row r="484" spans="1:6" x14ac:dyDescent="0.4">
      <c r="A484"/>
      <c r="B484"/>
      <c r="C484"/>
      <c r="D484"/>
      <c r="E484"/>
      <c r="F484"/>
    </row>
    <row r="485" spans="1:6" x14ac:dyDescent="0.4">
      <c r="A485"/>
      <c r="B485"/>
      <c r="C485"/>
      <c r="D485"/>
      <c r="E485"/>
      <c r="F485"/>
    </row>
    <row r="486" spans="1:6" x14ac:dyDescent="0.4">
      <c r="A486"/>
      <c r="B486"/>
      <c r="C486"/>
      <c r="D486"/>
      <c r="E486"/>
      <c r="F486"/>
    </row>
    <row r="487" spans="1:6" x14ac:dyDescent="0.4">
      <c r="A487"/>
      <c r="B487"/>
      <c r="C487"/>
      <c r="D487"/>
      <c r="E487"/>
      <c r="F487"/>
    </row>
    <row r="488" spans="1:6" x14ac:dyDescent="0.4">
      <c r="A488"/>
      <c r="B488"/>
      <c r="C488"/>
      <c r="D488"/>
      <c r="E488"/>
      <c r="F488"/>
    </row>
    <row r="489" spans="1:6" x14ac:dyDescent="0.4">
      <c r="A489"/>
      <c r="B489"/>
      <c r="C489"/>
      <c r="D489"/>
      <c r="E489"/>
      <c r="F489"/>
    </row>
    <row r="490" spans="1:6" x14ac:dyDescent="0.4">
      <c r="A490"/>
      <c r="B490"/>
      <c r="C490"/>
      <c r="D490"/>
      <c r="E490"/>
      <c r="F490"/>
    </row>
    <row r="491" spans="1:6" x14ac:dyDescent="0.4">
      <c r="A491"/>
      <c r="B491"/>
      <c r="C491"/>
      <c r="D491"/>
      <c r="E491"/>
      <c r="F491"/>
    </row>
    <row r="492" spans="1:6" x14ac:dyDescent="0.4">
      <c r="A492"/>
      <c r="B492"/>
      <c r="C492"/>
      <c r="D492"/>
      <c r="E492"/>
      <c r="F492"/>
    </row>
    <row r="493" spans="1:6" x14ac:dyDescent="0.4">
      <c r="A493"/>
      <c r="B493"/>
      <c r="C493"/>
      <c r="D493"/>
      <c r="E493"/>
      <c r="F493"/>
    </row>
    <row r="494" spans="1:6" x14ac:dyDescent="0.4">
      <c r="A494"/>
      <c r="B494"/>
      <c r="C494"/>
      <c r="D494"/>
      <c r="E494"/>
      <c r="F494"/>
    </row>
    <row r="495" spans="1:6" x14ac:dyDescent="0.4">
      <c r="A495"/>
      <c r="B495"/>
      <c r="C495"/>
      <c r="D495"/>
      <c r="E495"/>
      <c r="F495"/>
    </row>
    <row r="496" spans="1:6" x14ac:dyDescent="0.4">
      <c r="A496"/>
      <c r="B496"/>
      <c r="C496"/>
      <c r="D496"/>
      <c r="E496"/>
      <c r="F496"/>
    </row>
    <row r="497" spans="1:6" x14ac:dyDescent="0.4">
      <c r="A497"/>
      <c r="B497"/>
      <c r="C497"/>
      <c r="D497"/>
      <c r="E497"/>
      <c r="F497"/>
    </row>
    <row r="498" spans="1:6" x14ac:dyDescent="0.4">
      <c r="A498"/>
      <c r="B498"/>
      <c r="C498"/>
      <c r="D498"/>
      <c r="E498"/>
      <c r="F498"/>
    </row>
    <row r="499" spans="1:6" x14ac:dyDescent="0.4">
      <c r="A499"/>
      <c r="B499"/>
      <c r="C499"/>
      <c r="D499"/>
      <c r="E499"/>
      <c r="F499"/>
    </row>
    <row r="500" spans="1:6" x14ac:dyDescent="0.4">
      <c r="A500"/>
      <c r="B500"/>
      <c r="C500"/>
      <c r="D500"/>
      <c r="E500"/>
      <c r="F500"/>
    </row>
    <row r="501" spans="1:6" x14ac:dyDescent="0.4">
      <c r="A501"/>
      <c r="B501"/>
      <c r="C501"/>
      <c r="D501"/>
      <c r="E501"/>
      <c r="F501"/>
    </row>
    <row r="502" spans="1:6" x14ac:dyDescent="0.4">
      <c r="A502"/>
      <c r="B502"/>
      <c r="C502"/>
      <c r="D502"/>
      <c r="E502"/>
      <c r="F502"/>
    </row>
    <row r="503" spans="1:6" x14ac:dyDescent="0.4">
      <c r="A503"/>
      <c r="B503"/>
      <c r="C503"/>
      <c r="D503"/>
      <c r="E503"/>
      <c r="F503"/>
    </row>
    <row r="504" spans="1:6" x14ac:dyDescent="0.4">
      <c r="A504"/>
      <c r="B504"/>
      <c r="C504"/>
      <c r="D504"/>
      <c r="E504"/>
      <c r="F504"/>
    </row>
    <row r="505" spans="1:6" x14ac:dyDescent="0.4">
      <c r="A505"/>
      <c r="B505"/>
      <c r="C505"/>
      <c r="D505"/>
      <c r="E505"/>
      <c r="F505"/>
    </row>
    <row r="506" spans="1:6" x14ac:dyDescent="0.4">
      <c r="A506"/>
      <c r="B506"/>
      <c r="C506"/>
      <c r="D506"/>
      <c r="E506"/>
      <c r="F506"/>
    </row>
    <row r="507" spans="1:6" x14ac:dyDescent="0.4">
      <c r="A507"/>
      <c r="B507"/>
      <c r="C507"/>
      <c r="D507"/>
      <c r="E507"/>
      <c r="F507"/>
    </row>
    <row r="508" spans="1:6" x14ac:dyDescent="0.4">
      <c r="A508"/>
      <c r="B508"/>
      <c r="C508"/>
      <c r="D508"/>
      <c r="E508"/>
      <c r="F508"/>
    </row>
    <row r="509" spans="1:6" x14ac:dyDescent="0.4">
      <c r="A509"/>
      <c r="B509"/>
      <c r="C509"/>
      <c r="D509"/>
      <c r="E509"/>
      <c r="F509"/>
    </row>
    <row r="510" spans="1:6" x14ac:dyDescent="0.4">
      <c r="A510"/>
      <c r="B510"/>
      <c r="C510"/>
      <c r="D510"/>
      <c r="E510"/>
      <c r="F510"/>
    </row>
    <row r="511" spans="1:6" x14ac:dyDescent="0.4">
      <c r="A511"/>
      <c r="B511"/>
      <c r="C511"/>
      <c r="D511"/>
      <c r="E511"/>
      <c r="F511"/>
    </row>
    <row r="512" spans="1:6" x14ac:dyDescent="0.4">
      <c r="A512"/>
      <c r="B512"/>
      <c r="C512"/>
      <c r="D512"/>
      <c r="E512"/>
      <c r="F512"/>
    </row>
    <row r="513" spans="1:6" x14ac:dyDescent="0.4">
      <c r="A513"/>
      <c r="B513"/>
      <c r="C513"/>
      <c r="D513"/>
      <c r="E513"/>
      <c r="F513"/>
    </row>
    <row r="514" spans="1:6" x14ac:dyDescent="0.4">
      <c r="A514"/>
      <c r="B514"/>
      <c r="C514"/>
      <c r="D514"/>
      <c r="E514"/>
      <c r="F514"/>
    </row>
    <row r="515" spans="1:6" x14ac:dyDescent="0.4">
      <c r="A515"/>
      <c r="B515"/>
      <c r="C515"/>
      <c r="D515"/>
      <c r="E515"/>
      <c r="F515"/>
    </row>
    <row r="516" spans="1:6" x14ac:dyDescent="0.4">
      <c r="A516"/>
      <c r="B516"/>
      <c r="C516"/>
      <c r="D516"/>
      <c r="E516"/>
      <c r="F516"/>
    </row>
    <row r="517" spans="1:6" x14ac:dyDescent="0.4">
      <c r="A517"/>
      <c r="B517"/>
      <c r="C517"/>
      <c r="D517"/>
      <c r="E517"/>
      <c r="F517"/>
    </row>
    <row r="518" spans="1:6" x14ac:dyDescent="0.4">
      <c r="A518"/>
      <c r="B518"/>
      <c r="C518"/>
      <c r="D518"/>
      <c r="E518"/>
      <c r="F518"/>
    </row>
    <row r="519" spans="1:6" x14ac:dyDescent="0.4">
      <c r="A519"/>
      <c r="B519"/>
      <c r="C519"/>
      <c r="D519"/>
      <c r="E519"/>
      <c r="F519"/>
    </row>
    <row r="520" spans="1:6" x14ac:dyDescent="0.4">
      <c r="A520"/>
      <c r="B520"/>
      <c r="C520"/>
      <c r="D520"/>
      <c r="E520"/>
      <c r="F520"/>
    </row>
    <row r="521" spans="1:6" x14ac:dyDescent="0.4">
      <c r="A521"/>
      <c r="B521"/>
      <c r="C521"/>
      <c r="D521"/>
      <c r="E521"/>
      <c r="F521"/>
    </row>
    <row r="522" spans="1:6" x14ac:dyDescent="0.4">
      <c r="A522"/>
      <c r="B522"/>
      <c r="C522"/>
      <c r="D522"/>
      <c r="E522"/>
      <c r="F522"/>
    </row>
    <row r="523" spans="1:6" x14ac:dyDescent="0.4">
      <c r="A523"/>
      <c r="B523"/>
      <c r="C523"/>
      <c r="D523"/>
      <c r="E523"/>
      <c r="F523"/>
    </row>
    <row r="524" spans="1:6" x14ac:dyDescent="0.4">
      <c r="A524"/>
      <c r="B524"/>
      <c r="C524"/>
      <c r="D524"/>
      <c r="E524"/>
      <c r="F524"/>
    </row>
    <row r="525" spans="1:6" x14ac:dyDescent="0.4">
      <c r="A525"/>
      <c r="B525"/>
      <c r="C525"/>
      <c r="D525"/>
      <c r="E525"/>
      <c r="F525"/>
    </row>
    <row r="526" spans="1:6" x14ac:dyDescent="0.4">
      <c r="A526"/>
      <c r="B526"/>
      <c r="C526"/>
      <c r="D526"/>
      <c r="E526"/>
      <c r="F526"/>
    </row>
    <row r="527" spans="1:6" x14ac:dyDescent="0.4">
      <c r="A527"/>
      <c r="B527"/>
      <c r="C527"/>
      <c r="D527"/>
      <c r="E527"/>
      <c r="F527"/>
    </row>
    <row r="528" spans="1:6" x14ac:dyDescent="0.4">
      <c r="A528"/>
      <c r="B528"/>
      <c r="C528"/>
      <c r="D528"/>
      <c r="E528"/>
      <c r="F528"/>
    </row>
    <row r="529" spans="1:6" x14ac:dyDescent="0.4">
      <c r="A529"/>
      <c r="B529"/>
      <c r="C529"/>
      <c r="D529"/>
      <c r="E529"/>
      <c r="F529"/>
    </row>
    <row r="530" spans="1:6" x14ac:dyDescent="0.4">
      <c r="A530"/>
      <c r="B530"/>
      <c r="C530"/>
      <c r="D530"/>
      <c r="E530"/>
      <c r="F530"/>
    </row>
    <row r="531" spans="1:6" x14ac:dyDescent="0.4">
      <c r="A531"/>
      <c r="B531"/>
      <c r="C531"/>
      <c r="D531"/>
      <c r="E531"/>
      <c r="F531"/>
    </row>
    <row r="532" spans="1:6" x14ac:dyDescent="0.4">
      <c r="A532"/>
      <c r="B532"/>
      <c r="C532"/>
      <c r="D532"/>
      <c r="E532"/>
      <c r="F532"/>
    </row>
    <row r="533" spans="1:6" x14ac:dyDescent="0.4">
      <c r="A533"/>
      <c r="B533"/>
      <c r="C533"/>
      <c r="D533"/>
      <c r="E533"/>
      <c r="F533"/>
    </row>
    <row r="534" spans="1:6" x14ac:dyDescent="0.4">
      <c r="A534"/>
      <c r="B534"/>
      <c r="C534"/>
      <c r="D534"/>
      <c r="E534"/>
      <c r="F534"/>
    </row>
    <row r="535" spans="1:6" x14ac:dyDescent="0.4">
      <c r="A535"/>
      <c r="B535"/>
      <c r="C535"/>
      <c r="D535"/>
      <c r="E535"/>
      <c r="F535"/>
    </row>
    <row r="536" spans="1:6" x14ac:dyDescent="0.4">
      <c r="A536"/>
      <c r="B536"/>
      <c r="C536"/>
      <c r="D536"/>
      <c r="E536"/>
      <c r="F536"/>
    </row>
    <row r="537" spans="1:6" x14ac:dyDescent="0.4">
      <c r="A537"/>
      <c r="B537"/>
      <c r="C537"/>
      <c r="D537"/>
      <c r="E537"/>
      <c r="F537"/>
    </row>
    <row r="538" spans="1:6" x14ac:dyDescent="0.4">
      <c r="A538"/>
      <c r="B538"/>
      <c r="C538"/>
      <c r="D538"/>
      <c r="E538"/>
      <c r="F538"/>
    </row>
    <row r="539" spans="1:6" x14ac:dyDescent="0.4">
      <c r="A539"/>
      <c r="B539"/>
      <c r="C539"/>
      <c r="D539"/>
      <c r="E539"/>
      <c r="F539"/>
    </row>
    <row r="540" spans="1:6" x14ac:dyDescent="0.4">
      <c r="A540"/>
      <c r="B540"/>
      <c r="C540"/>
      <c r="D540"/>
      <c r="E540"/>
      <c r="F540"/>
    </row>
    <row r="541" spans="1:6" x14ac:dyDescent="0.4">
      <c r="A541"/>
      <c r="B541"/>
      <c r="C541"/>
      <c r="D541"/>
      <c r="E541"/>
      <c r="F541"/>
    </row>
    <row r="542" spans="1:6" x14ac:dyDescent="0.4">
      <c r="A542"/>
      <c r="B542"/>
      <c r="C542"/>
      <c r="D542"/>
      <c r="E542"/>
      <c r="F542"/>
    </row>
    <row r="543" spans="1:6" x14ac:dyDescent="0.4">
      <c r="A543"/>
      <c r="B543"/>
      <c r="C543"/>
      <c r="D543"/>
      <c r="E543"/>
      <c r="F543"/>
    </row>
    <row r="544" spans="1:6" x14ac:dyDescent="0.4">
      <c r="A544"/>
      <c r="B544"/>
      <c r="C544"/>
      <c r="D544"/>
      <c r="E544"/>
      <c r="F544"/>
    </row>
    <row r="545" spans="1:6" x14ac:dyDescent="0.4">
      <c r="A545"/>
      <c r="B545"/>
      <c r="C545"/>
      <c r="D545"/>
      <c r="E545"/>
      <c r="F545"/>
    </row>
    <row r="546" spans="1:6" x14ac:dyDescent="0.4">
      <c r="A546"/>
      <c r="B546"/>
      <c r="C546"/>
      <c r="D546"/>
      <c r="E546"/>
      <c r="F546"/>
    </row>
    <row r="547" spans="1:6" x14ac:dyDescent="0.4">
      <c r="A547"/>
      <c r="B547"/>
      <c r="C547"/>
      <c r="D547"/>
      <c r="E547"/>
      <c r="F547"/>
    </row>
    <row r="548" spans="1:6" x14ac:dyDescent="0.4">
      <c r="A548"/>
      <c r="B548"/>
      <c r="C548"/>
      <c r="D548"/>
      <c r="E548"/>
      <c r="F548"/>
    </row>
    <row r="549" spans="1:6" x14ac:dyDescent="0.4">
      <c r="A549"/>
      <c r="B549"/>
      <c r="C549"/>
      <c r="D549"/>
      <c r="E549"/>
      <c r="F549"/>
    </row>
    <row r="550" spans="1:6" x14ac:dyDescent="0.4">
      <c r="A550"/>
      <c r="B550"/>
      <c r="C550"/>
      <c r="D550"/>
      <c r="E550"/>
      <c r="F550"/>
    </row>
    <row r="551" spans="1:6" x14ac:dyDescent="0.4">
      <c r="A551"/>
      <c r="B551"/>
      <c r="C551"/>
      <c r="D551"/>
      <c r="E551"/>
      <c r="F551"/>
    </row>
    <row r="552" spans="1:6" x14ac:dyDescent="0.4">
      <c r="A552"/>
      <c r="B552"/>
      <c r="C552"/>
      <c r="D552"/>
      <c r="E552"/>
      <c r="F552"/>
    </row>
    <row r="553" spans="1:6" x14ac:dyDescent="0.4">
      <c r="A553"/>
      <c r="B553"/>
      <c r="C553"/>
      <c r="D553"/>
      <c r="E553"/>
      <c r="F553"/>
    </row>
    <row r="554" spans="1:6" x14ac:dyDescent="0.4">
      <c r="A554"/>
      <c r="B554"/>
      <c r="C554"/>
      <c r="D554"/>
      <c r="E554"/>
      <c r="F554"/>
    </row>
    <row r="555" spans="1:6" x14ac:dyDescent="0.4">
      <c r="A555"/>
      <c r="B555"/>
      <c r="C555"/>
      <c r="D555"/>
      <c r="E555"/>
      <c r="F555"/>
    </row>
    <row r="556" spans="1:6" x14ac:dyDescent="0.4">
      <c r="A556"/>
      <c r="B556"/>
      <c r="C556"/>
      <c r="D556"/>
      <c r="E556"/>
      <c r="F556"/>
    </row>
    <row r="557" spans="1:6" x14ac:dyDescent="0.4">
      <c r="A557"/>
      <c r="B557"/>
      <c r="C557"/>
      <c r="D557"/>
      <c r="E557"/>
      <c r="F557"/>
    </row>
    <row r="558" spans="1:6" x14ac:dyDescent="0.4">
      <c r="A558"/>
      <c r="B558"/>
      <c r="C558"/>
      <c r="D558"/>
      <c r="E558"/>
      <c r="F558"/>
    </row>
    <row r="559" spans="1:6" x14ac:dyDescent="0.4">
      <c r="A559"/>
      <c r="B559"/>
      <c r="C559"/>
      <c r="D559"/>
      <c r="E559"/>
      <c r="F559"/>
    </row>
    <row r="560" spans="1:6" x14ac:dyDescent="0.4">
      <c r="A560"/>
      <c r="B560"/>
      <c r="C560"/>
      <c r="D560"/>
      <c r="E560"/>
      <c r="F560"/>
    </row>
    <row r="561" spans="1:6" x14ac:dyDescent="0.4">
      <c r="A561"/>
      <c r="B561"/>
      <c r="C561"/>
      <c r="D561"/>
      <c r="E561"/>
      <c r="F561"/>
    </row>
    <row r="562" spans="1:6" x14ac:dyDescent="0.4">
      <c r="A562"/>
      <c r="B562"/>
      <c r="C562"/>
      <c r="D562"/>
      <c r="E562"/>
      <c r="F562"/>
    </row>
    <row r="563" spans="1:6" x14ac:dyDescent="0.4">
      <c r="A563"/>
      <c r="B563"/>
      <c r="C563"/>
      <c r="D563"/>
      <c r="E563"/>
      <c r="F563"/>
    </row>
    <row r="564" spans="1:6" x14ac:dyDescent="0.4">
      <c r="A564"/>
      <c r="B564"/>
      <c r="C564"/>
      <c r="D564"/>
      <c r="E564"/>
      <c r="F564"/>
    </row>
    <row r="565" spans="1:6" x14ac:dyDescent="0.4">
      <c r="A565"/>
      <c r="B565"/>
      <c r="C565"/>
      <c r="D565"/>
      <c r="E565"/>
      <c r="F565"/>
    </row>
    <row r="566" spans="1:6" x14ac:dyDescent="0.4">
      <c r="A566"/>
      <c r="B566"/>
      <c r="C566"/>
      <c r="D566"/>
      <c r="E566"/>
      <c r="F566"/>
    </row>
    <row r="567" spans="1:6" x14ac:dyDescent="0.4">
      <c r="A567"/>
      <c r="B567"/>
      <c r="C567"/>
      <c r="D567"/>
      <c r="E567"/>
      <c r="F567"/>
    </row>
    <row r="568" spans="1:6" x14ac:dyDescent="0.4">
      <c r="A568"/>
      <c r="B568"/>
      <c r="C568"/>
      <c r="D568"/>
      <c r="E568"/>
      <c r="F568"/>
    </row>
    <row r="569" spans="1:6" x14ac:dyDescent="0.4">
      <c r="A569"/>
      <c r="B569"/>
      <c r="C569"/>
      <c r="D569"/>
      <c r="E569"/>
      <c r="F569"/>
    </row>
    <row r="570" spans="1:6" x14ac:dyDescent="0.4">
      <c r="A570"/>
      <c r="B570"/>
      <c r="C570"/>
      <c r="D570"/>
      <c r="E570"/>
      <c r="F570"/>
    </row>
    <row r="571" spans="1:6" x14ac:dyDescent="0.4">
      <c r="A571"/>
      <c r="B571"/>
      <c r="C571"/>
      <c r="D571"/>
      <c r="E571"/>
      <c r="F571"/>
    </row>
    <row r="572" spans="1:6" x14ac:dyDescent="0.4">
      <c r="A572"/>
      <c r="B572"/>
      <c r="C572"/>
      <c r="D572"/>
      <c r="E572"/>
      <c r="F572"/>
    </row>
    <row r="573" spans="1:6" x14ac:dyDescent="0.4">
      <c r="A573"/>
      <c r="B573"/>
      <c r="C573"/>
      <c r="D573"/>
      <c r="E573"/>
      <c r="F573"/>
    </row>
    <row r="574" spans="1:6" x14ac:dyDescent="0.4">
      <c r="A574"/>
      <c r="B574"/>
      <c r="C574"/>
      <c r="D574"/>
      <c r="E574"/>
      <c r="F574"/>
    </row>
    <row r="575" spans="1:6" x14ac:dyDescent="0.4">
      <c r="A575"/>
      <c r="B575"/>
      <c r="C575"/>
      <c r="D575"/>
      <c r="E575"/>
      <c r="F575"/>
    </row>
    <row r="576" spans="1:6" x14ac:dyDescent="0.4">
      <c r="A576"/>
      <c r="B576"/>
      <c r="C576"/>
      <c r="D576"/>
      <c r="E576"/>
      <c r="F576"/>
    </row>
    <row r="577" spans="1:6" x14ac:dyDescent="0.4">
      <c r="A577"/>
      <c r="B577"/>
      <c r="C577"/>
      <c r="D577"/>
      <c r="E577"/>
      <c r="F577"/>
    </row>
    <row r="578" spans="1:6" x14ac:dyDescent="0.4">
      <c r="A578"/>
      <c r="B578"/>
      <c r="C578"/>
      <c r="D578"/>
      <c r="E578"/>
      <c r="F578"/>
    </row>
    <row r="579" spans="1:6" x14ac:dyDescent="0.4">
      <c r="A579"/>
      <c r="B579"/>
      <c r="C579"/>
      <c r="D579"/>
      <c r="E579"/>
      <c r="F579"/>
    </row>
    <row r="580" spans="1:6" x14ac:dyDescent="0.4">
      <c r="A580"/>
      <c r="B580"/>
      <c r="C580"/>
      <c r="D580"/>
      <c r="E580"/>
      <c r="F580"/>
    </row>
    <row r="581" spans="1:6" x14ac:dyDescent="0.4">
      <c r="A581"/>
      <c r="B581"/>
      <c r="C581"/>
      <c r="D581"/>
      <c r="E581"/>
      <c r="F581"/>
    </row>
    <row r="582" spans="1:6" x14ac:dyDescent="0.4">
      <c r="A582"/>
      <c r="B582"/>
      <c r="C582"/>
      <c r="D582"/>
      <c r="E582"/>
      <c r="F582"/>
    </row>
    <row r="583" spans="1:6" x14ac:dyDescent="0.4">
      <c r="A583"/>
      <c r="B583"/>
      <c r="C583"/>
      <c r="D583"/>
      <c r="E583"/>
      <c r="F583"/>
    </row>
    <row r="584" spans="1:6" x14ac:dyDescent="0.4">
      <c r="A584"/>
      <c r="B584"/>
      <c r="C584"/>
      <c r="D584"/>
      <c r="E584"/>
      <c r="F584"/>
    </row>
    <row r="585" spans="1:6" x14ac:dyDescent="0.4">
      <c r="A585"/>
      <c r="B585"/>
      <c r="C585"/>
      <c r="D585"/>
      <c r="E585"/>
      <c r="F585"/>
    </row>
    <row r="586" spans="1:6" x14ac:dyDescent="0.4">
      <c r="A586"/>
      <c r="B586"/>
      <c r="C586"/>
      <c r="D586"/>
      <c r="E586"/>
      <c r="F586"/>
    </row>
    <row r="587" spans="1:6" x14ac:dyDescent="0.4">
      <c r="A587"/>
      <c r="B587"/>
      <c r="C587"/>
      <c r="D587"/>
      <c r="E587"/>
      <c r="F587"/>
    </row>
    <row r="588" spans="1:6" x14ac:dyDescent="0.4">
      <c r="A588"/>
      <c r="B588"/>
      <c r="C588"/>
      <c r="D588"/>
      <c r="E588"/>
      <c r="F588"/>
    </row>
    <row r="589" spans="1:6" x14ac:dyDescent="0.4">
      <c r="A589"/>
      <c r="B589"/>
      <c r="C589"/>
      <c r="D589"/>
      <c r="E589"/>
      <c r="F589"/>
    </row>
    <row r="590" spans="1:6" x14ac:dyDescent="0.4">
      <c r="A590"/>
      <c r="B590"/>
      <c r="C590"/>
      <c r="D590"/>
      <c r="E590"/>
      <c r="F590"/>
    </row>
    <row r="591" spans="1:6" x14ac:dyDescent="0.4">
      <c r="A591"/>
      <c r="B591"/>
      <c r="C591"/>
      <c r="D591"/>
      <c r="E591"/>
      <c r="F591"/>
    </row>
    <row r="592" spans="1:6" x14ac:dyDescent="0.4">
      <c r="A592"/>
      <c r="B592"/>
      <c r="C592"/>
      <c r="D592"/>
      <c r="E592"/>
      <c r="F592"/>
    </row>
    <row r="593" spans="1:6" x14ac:dyDescent="0.4">
      <c r="A593"/>
      <c r="B593"/>
      <c r="C593"/>
      <c r="D593"/>
      <c r="E593"/>
      <c r="F593"/>
    </row>
    <row r="594" spans="1:6" x14ac:dyDescent="0.4">
      <c r="A594"/>
      <c r="B594"/>
      <c r="C594"/>
      <c r="D594"/>
      <c r="E594"/>
      <c r="F594"/>
    </row>
    <row r="595" spans="1:6" x14ac:dyDescent="0.4">
      <c r="A595"/>
      <c r="B595"/>
      <c r="C595"/>
      <c r="D595"/>
      <c r="E595"/>
      <c r="F595"/>
    </row>
    <row r="596" spans="1:6" x14ac:dyDescent="0.4">
      <c r="A596"/>
      <c r="B596"/>
      <c r="C596"/>
      <c r="D596"/>
      <c r="E596"/>
      <c r="F596"/>
    </row>
    <row r="597" spans="1:6" x14ac:dyDescent="0.4">
      <c r="A597"/>
      <c r="B597"/>
      <c r="C597"/>
      <c r="D597"/>
      <c r="E597"/>
      <c r="F597"/>
    </row>
    <row r="598" spans="1:6" x14ac:dyDescent="0.4">
      <c r="A598"/>
      <c r="B598"/>
      <c r="C598"/>
      <c r="D598"/>
      <c r="E598"/>
      <c r="F598"/>
    </row>
    <row r="599" spans="1:6" x14ac:dyDescent="0.4">
      <c r="A599"/>
      <c r="B599"/>
      <c r="C599"/>
      <c r="D599"/>
      <c r="E599"/>
      <c r="F599"/>
    </row>
    <row r="600" spans="1:6" x14ac:dyDescent="0.4">
      <c r="A600"/>
      <c r="B600"/>
      <c r="C600"/>
      <c r="D600"/>
      <c r="E600"/>
      <c r="F600"/>
    </row>
    <row r="601" spans="1:6" x14ac:dyDescent="0.4">
      <c r="A601"/>
      <c r="B601"/>
      <c r="C601"/>
      <c r="D601"/>
      <c r="E601"/>
      <c r="F601"/>
    </row>
    <row r="602" spans="1:6" x14ac:dyDescent="0.4">
      <c r="A602"/>
      <c r="B602"/>
      <c r="C602"/>
      <c r="D602"/>
      <c r="E602"/>
      <c r="F602"/>
    </row>
    <row r="603" spans="1:6" x14ac:dyDescent="0.4">
      <c r="A603"/>
      <c r="B603"/>
      <c r="C603"/>
      <c r="D603"/>
      <c r="E603"/>
      <c r="F603"/>
    </row>
    <row r="604" spans="1:6" x14ac:dyDescent="0.4">
      <c r="A604"/>
      <c r="B604"/>
      <c r="C604"/>
      <c r="D604"/>
      <c r="E604"/>
      <c r="F604"/>
    </row>
    <row r="605" spans="1:6" x14ac:dyDescent="0.4">
      <c r="A605"/>
      <c r="B605"/>
      <c r="C605"/>
      <c r="D605"/>
      <c r="E605"/>
      <c r="F605"/>
    </row>
    <row r="606" spans="1:6" x14ac:dyDescent="0.4">
      <c r="A606"/>
      <c r="B606"/>
      <c r="C606"/>
      <c r="D606"/>
      <c r="E606"/>
      <c r="F606"/>
    </row>
    <row r="607" spans="1:6" x14ac:dyDescent="0.4">
      <c r="A607"/>
      <c r="B607"/>
      <c r="C607"/>
      <c r="D607"/>
      <c r="E607"/>
      <c r="F607"/>
    </row>
    <row r="608" spans="1:6" x14ac:dyDescent="0.4">
      <c r="A608"/>
      <c r="B608"/>
      <c r="C608"/>
      <c r="D608"/>
      <c r="E608"/>
      <c r="F608"/>
    </row>
    <row r="609" spans="1:6" x14ac:dyDescent="0.4">
      <c r="A609"/>
      <c r="B609"/>
      <c r="C609"/>
      <c r="D609"/>
      <c r="E609"/>
      <c r="F609"/>
    </row>
    <row r="610" spans="1:6" x14ac:dyDescent="0.4">
      <c r="A610"/>
      <c r="B610"/>
      <c r="C610"/>
      <c r="D610"/>
      <c r="E610"/>
      <c r="F610"/>
    </row>
    <row r="611" spans="1:6" x14ac:dyDescent="0.4">
      <c r="A611"/>
      <c r="B611"/>
      <c r="C611"/>
      <c r="D611"/>
      <c r="E611"/>
      <c r="F611"/>
    </row>
    <row r="612" spans="1:6" x14ac:dyDescent="0.4">
      <c r="A612"/>
      <c r="B612"/>
      <c r="C612"/>
      <c r="D612"/>
      <c r="E612"/>
      <c r="F612"/>
    </row>
    <row r="613" spans="1:6" x14ac:dyDescent="0.4">
      <c r="A613"/>
      <c r="B613"/>
      <c r="C613"/>
      <c r="D613"/>
      <c r="E613"/>
      <c r="F613"/>
    </row>
    <row r="614" spans="1:6" x14ac:dyDescent="0.4">
      <c r="A614"/>
      <c r="B614"/>
      <c r="C614"/>
      <c r="D614"/>
      <c r="E614"/>
      <c r="F614"/>
    </row>
    <row r="615" spans="1:6" x14ac:dyDescent="0.4">
      <c r="A615"/>
      <c r="B615"/>
      <c r="C615"/>
      <c r="D615"/>
      <c r="E615"/>
      <c r="F615"/>
    </row>
    <row r="616" spans="1:6" x14ac:dyDescent="0.4">
      <c r="A616"/>
      <c r="B616"/>
      <c r="C616"/>
      <c r="D616"/>
      <c r="E616"/>
      <c r="F616"/>
    </row>
    <row r="617" spans="1:6" x14ac:dyDescent="0.4">
      <c r="A617"/>
      <c r="B617"/>
      <c r="C617"/>
      <c r="D617"/>
      <c r="E617"/>
      <c r="F617"/>
    </row>
    <row r="618" spans="1:6" x14ac:dyDescent="0.4">
      <c r="A618"/>
      <c r="B618"/>
      <c r="C618"/>
      <c r="D618"/>
      <c r="E618"/>
      <c r="F618"/>
    </row>
    <row r="619" spans="1:6" x14ac:dyDescent="0.4">
      <c r="A619"/>
      <c r="B619"/>
      <c r="C619"/>
      <c r="D619"/>
      <c r="E619"/>
      <c r="F619"/>
    </row>
    <row r="620" spans="1:6" x14ac:dyDescent="0.4">
      <c r="A620"/>
      <c r="B620"/>
      <c r="C620"/>
      <c r="D620"/>
      <c r="E620"/>
      <c r="F620"/>
    </row>
    <row r="621" spans="1:6" x14ac:dyDescent="0.4">
      <c r="A621"/>
      <c r="B621"/>
      <c r="C621"/>
      <c r="D621"/>
      <c r="E621"/>
      <c r="F621"/>
    </row>
    <row r="622" spans="1:6" x14ac:dyDescent="0.4">
      <c r="A622"/>
      <c r="B622"/>
      <c r="C622"/>
      <c r="D622"/>
      <c r="E622"/>
      <c r="F622"/>
    </row>
    <row r="623" spans="1:6" x14ac:dyDescent="0.4">
      <c r="A623"/>
      <c r="B623"/>
      <c r="C623"/>
      <c r="D623"/>
      <c r="E623"/>
      <c r="F623"/>
    </row>
    <row r="624" spans="1:6" x14ac:dyDescent="0.4">
      <c r="A624"/>
      <c r="B624"/>
      <c r="C624"/>
      <c r="D624"/>
      <c r="E624"/>
      <c r="F624"/>
    </row>
    <row r="625" spans="1:6" x14ac:dyDescent="0.4">
      <c r="A625"/>
      <c r="B625"/>
      <c r="C625"/>
      <c r="D625"/>
      <c r="E625"/>
      <c r="F625"/>
    </row>
    <row r="626" spans="1:6" x14ac:dyDescent="0.4">
      <c r="A626"/>
      <c r="B626"/>
      <c r="C626"/>
      <c r="D626"/>
      <c r="E626"/>
      <c r="F626"/>
    </row>
    <row r="627" spans="1:6" x14ac:dyDescent="0.4">
      <c r="A627"/>
      <c r="B627"/>
      <c r="C627"/>
      <c r="D627"/>
      <c r="E627"/>
      <c r="F627"/>
    </row>
    <row r="628" spans="1:6" x14ac:dyDescent="0.4">
      <c r="A628"/>
      <c r="B628"/>
      <c r="C628"/>
      <c r="D628"/>
      <c r="E628"/>
      <c r="F628"/>
    </row>
    <row r="629" spans="1:6" x14ac:dyDescent="0.4">
      <c r="A629"/>
      <c r="B629"/>
      <c r="C629"/>
      <c r="D629"/>
      <c r="E629"/>
      <c r="F629"/>
    </row>
    <row r="630" spans="1:6" x14ac:dyDescent="0.4">
      <c r="A630"/>
      <c r="B630"/>
      <c r="C630"/>
      <c r="D630"/>
      <c r="E630"/>
      <c r="F630"/>
    </row>
    <row r="631" spans="1:6" x14ac:dyDescent="0.4">
      <c r="A631"/>
      <c r="B631"/>
      <c r="C631"/>
      <c r="D631"/>
      <c r="E631"/>
      <c r="F631"/>
    </row>
    <row r="632" spans="1:6" x14ac:dyDescent="0.4">
      <c r="A632"/>
      <c r="B632"/>
      <c r="C632"/>
      <c r="D632"/>
      <c r="E632"/>
      <c r="F632"/>
    </row>
    <row r="633" spans="1:6" x14ac:dyDescent="0.4">
      <c r="A633"/>
      <c r="B633"/>
      <c r="C633"/>
      <c r="D633"/>
      <c r="E633"/>
      <c r="F633"/>
    </row>
    <row r="634" spans="1:6" x14ac:dyDescent="0.4">
      <c r="A634"/>
      <c r="B634"/>
      <c r="C634"/>
      <c r="D634"/>
      <c r="E634"/>
      <c r="F634"/>
    </row>
    <row r="635" spans="1:6" x14ac:dyDescent="0.4">
      <c r="A635"/>
      <c r="B635"/>
      <c r="C635"/>
      <c r="D635"/>
      <c r="E635"/>
      <c r="F635"/>
    </row>
    <row r="636" spans="1:6" x14ac:dyDescent="0.4">
      <c r="A636"/>
      <c r="B636"/>
      <c r="C636"/>
      <c r="D636"/>
      <c r="E636"/>
      <c r="F636"/>
    </row>
    <row r="637" spans="1:6" x14ac:dyDescent="0.4">
      <c r="A637"/>
      <c r="B637"/>
      <c r="C637"/>
      <c r="D637"/>
      <c r="E637"/>
      <c r="F637"/>
    </row>
    <row r="638" spans="1:6" x14ac:dyDescent="0.4">
      <c r="A638"/>
      <c r="B638"/>
      <c r="C638"/>
      <c r="D638"/>
      <c r="E638"/>
      <c r="F638"/>
    </row>
    <row r="639" spans="1:6" x14ac:dyDescent="0.4">
      <c r="A639"/>
      <c r="B639"/>
      <c r="C639"/>
      <c r="D639"/>
      <c r="E639"/>
      <c r="F639"/>
    </row>
    <row r="640" spans="1:6" x14ac:dyDescent="0.4">
      <c r="A640"/>
      <c r="B640"/>
      <c r="C640"/>
      <c r="D640"/>
      <c r="E640"/>
      <c r="F640"/>
    </row>
    <row r="641" spans="1:6" x14ac:dyDescent="0.4">
      <c r="A641"/>
      <c r="B641"/>
      <c r="C641"/>
      <c r="D641"/>
      <c r="E641"/>
      <c r="F641"/>
    </row>
    <row r="642" spans="1:6" x14ac:dyDescent="0.4">
      <c r="A642"/>
      <c r="B642"/>
      <c r="C642"/>
      <c r="D642"/>
      <c r="E642"/>
      <c r="F642"/>
    </row>
    <row r="643" spans="1:6" x14ac:dyDescent="0.4">
      <c r="A643"/>
      <c r="B643"/>
      <c r="C643"/>
      <c r="D643"/>
      <c r="E643"/>
      <c r="F643"/>
    </row>
    <row r="644" spans="1:6" x14ac:dyDescent="0.4">
      <c r="A644"/>
      <c r="B644"/>
      <c r="C644"/>
      <c r="D644"/>
      <c r="E644"/>
      <c r="F644"/>
    </row>
    <row r="645" spans="1:6" x14ac:dyDescent="0.4">
      <c r="A645"/>
      <c r="B645"/>
      <c r="C645"/>
      <c r="D645"/>
      <c r="E645"/>
      <c r="F645"/>
    </row>
    <row r="646" spans="1:6" x14ac:dyDescent="0.4">
      <c r="A646"/>
      <c r="B646"/>
      <c r="C646"/>
      <c r="D646"/>
      <c r="E646"/>
      <c r="F646"/>
    </row>
    <row r="647" spans="1:6" x14ac:dyDescent="0.4">
      <c r="A647"/>
      <c r="B647"/>
      <c r="C647"/>
      <c r="D647"/>
      <c r="E647"/>
      <c r="F647"/>
    </row>
    <row r="648" spans="1:6" x14ac:dyDescent="0.4">
      <c r="A648"/>
      <c r="B648"/>
      <c r="C648"/>
      <c r="D648"/>
      <c r="E648"/>
      <c r="F648"/>
    </row>
    <row r="649" spans="1:6" x14ac:dyDescent="0.4">
      <c r="A649"/>
      <c r="B649"/>
      <c r="C649"/>
      <c r="D649"/>
      <c r="E649"/>
      <c r="F649"/>
    </row>
    <row r="650" spans="1:6" x14ac:dyDescent="0.4">
      <c r="A650"/>
      <c r="B650"/>
      <c r="C650"/>
      <c r="D650"/>
      <c r="E650"/>
      <c r="F650"/>
    </row>
    <row r="651" spans="1:6" x14ac:dyDescent="0.4">
      <c r="A651"/>
      <c r="B651"/>
      <c r="C651"/>
      <c r="D651"/>
      <c r="E651"/>
      <c r="F651"/>
    </row>
    <row r="652" spans="1:6" x14ac:dyDescent="0.4">
      <c r="A652"/>
      <c r="B652"/>
      <c r="C652"/>
      <c r="D652"/>
      <c r="E652"/>
      <c r="F652"/>
    </row>
    <row r="653" spans="1:6" x14ac:dyDescent="0.4">
      <c r="A653"/>
      <c r="B653"/>
      <c r="C653"/>
      <c r="D653"/>
      <c r="E653"/>
      <c r="F653"/>
    </row>
    <row r="654" spans="1:6" x14ac:dyDescent="0.4">
      <c r="A654"/>
      <c r="B654"/>
      <c r="C654"/>
      <c r="D654"/>
      <c r="E654"/>
      <c r="F654"/>
    </row>
    <row r="655" spans="1:6" x14ac:dyDescent="0.4">
      <c r="A655"/>
      <c r="B655"/>
      <c r="C655"/>
      <c r="D655"/>
      <c r="E655"/>
      <c r="F655"/>
    </row>
    <row r="656" spans="1:6" x14ac:dyDescent="0.4">
      <c r="A656"/>
      <c r="B656"/>
      <c r="C656"/>
      <c r="D656"/>
      <c r="E656"/>
      <c r="F656"/>
    </row>
    <row r="657" spans="1:6" x14ac:dyDescent="0.4">
      <c r="A657"/>
      <c r="B657"/>
      <c r="C657"/>
      <c r="D657"/>
      <c r="E657"/>
      <c r="F657"/>
    </row>
    <row r="658" spans="1:6" x14ac:dyDescent="0.4">
      <c r="A658"/>
      <c r="B658"/>
      <c r="C658"/>
      <c r="D658"/>
      <c r="E658"/>
      <c r="F658"/>
    </row>
    <row r="659" spans="1:6" x14ac:dyDescent="0.4">
      <c r="A659"/>
      <c r="B659"/>
      <c r="C659"/>
      <c r="D659"/>
      <c r="E659"/>
      <c r="F659"/>
    </row>
    <row r="660" spans="1:6" x14ac:dyDescent="0.4">
      <c r="A660"/>
      <c r="B660"/>
      <c r="C660"/>
      <c r="D660"/>
      <c r="E660"/>
      <c r="F660"/>
    </row>
    <row r="661" spans="1:6" x14ac:dyDescent="0.4">
      <c r="A661"/>
      <c r="B661"/>
      <c r="C661"/>
      <c r="D661"/>
      <c r="E661"/>
      <c r="F661"/>
    </row>
    <row r="662" spans="1:6" x14ac:dyDescent="0.4">
      <c r="A662"/>
      <c r="B662"/>
      <c r="C662"/>
      <c r="D662"/>
      <c r="E662"/>
      <c r="F662"/>
    </row>
    <row r="663" spans="1:6" x14ac:dyDescent="0.4">
      <c r="A663"/>
      <c r="B663"/>
      <c r="C663"/>
      <c r="D663"/>
      <c r="E663"/>
      <c r="F663"/>
    </row>
    <row r="664" spans="1:6" x14ac:dyDescent="0.4">
      <c r="A664"/>
      <c r="B664"/>
      <c r="C664"/>
      <c r="D664"/>
      <c r="E664"/>
      <c r="F664"/>
    </row>
    <row r="665" spans="1:6" x14ac:dyDescent="0.4">
      <c r="A665"/>
      <c r="B665"/>
      <c r="C665"/>
      <c r="D665"/>
      <c r="E665"/>
      <c r="F665"/>
    </row>
    <row r="666" spans="1:6" x14ac:dyDescent="0.4">
      <c r="A666"/>
      <c r="B666"/>
      <c r="C666"/>
      <c r="D666"/>
      <c r="E666"/>
      <c r="F666"/>
    </row>
    <row r="667" spans="1:6" x14ac:dyDescent="0.4">
      <c r="A667"/>
      <c r="B667"/>
      <c r="C667"/>
      <c r="D667"/>
      <c r="E667"/>
      <c r="F667"/>
    </row>
    <row r="668" spans="1:6" x14ac:dyDescent="0.4">
      <c r="A668"/>
      <c r="B668"/>
      <c r="C668"/>
      <c r="D668"/>
      <c r="E668"/>
      <c r="F668"/>
    </row>
    <row r="669" spans="1:6" x14ac:dyDescent="0.4">
      <c r="A669"/>
      <c r="B669"/>
      <c r="C669"/>
      <c r="D669"/>
      <c r="E669"/>
      <c r="F669"/>
    </row>
    <row r="670" spans="1:6" x14ac:dyDescent="0.4">
      <c r="A670"/>
      <c r="B670"/>
      <c r="C670"/>
      <c r="D670"/>
      <c r="E670"/>
      <c r="F670"/>
    </row>
    <row r="671" spans="1:6" x14ac:dyDescent="0.4">
      <c r="A671"/>
      <c r="B671"/>
      <c r="C671"/>
      <c r="D671"/>
      <c r="E671"/>
      <c r="F671"/>
    </row>
    <row r="672" spans="1:6" x14ac:dyDescent="0.4">
      <c r="A672"/>
      <c r="B672"/>
      <c r="C672"/>
      <c r="D672"/>
      <c r="E672"/>
      <c r="F672"/>
    </row>
    <row r="673" spans="1:6" x14ac:dyDescent="0.4">
      <c r="A673"/>
      <c r="B673"/>
      <c r="C673"/>
      <c r="D673"/>
      <c r="E673"/>
      <c r="F673"/>
    </row>
    <row r="674" spans="1:6" x14ac:dyDescent="0.4">
      <c r="A674"/>
      <c r="B674"/>
      <c r="C674"/>
      <c r="D674"/>
      <c r="E674"/>
      <c r="F674"/>
    </row>
    <row r="675" spans="1:6" x14ac:dyDescent="0.4">
      <c r="A675"/>
      <c r="B675"/>
      <c r="C675"/>
      <c r="D675"/>
      <c r="E675"/>
      <c r="F675"/>
    </row>
    <row r="676" spans="1:6" x14ac:dyDescent="0.4">
      <c r="A676"/>
      <c r="B676"/>
      <c r="C676"/>
      <c r="D676"/>
      <c r="E676"/>
      <c r="F676"/>
    </row>
    <row r="677" spans="1:6" x14ac:dyDescent="0.4">
      <c r="A677"/>
      <c r="B677"/>
      <c r="C677"/>
      <c r="D677"/>
      <c r="E677"/>
      <c r="F677"/>
    </row>
    <row r="678" spans="1:6" x14ac:dyDescent="0.4">
      <c r="A678"/>
      <c r="B678"/>
      <c r="C678"/>
      <c r="D678"/>
      <c r="E678"/>
      <c r="F678"/>
    </row>
    <row r="679" spans="1:6" x14ac:dyDescent="0.4">
      <c r="A679"/>
      <c r="B679"/>
      <c r="C679"/>
      <c r="D679"/>
      <c r="E679"/>
      <c r="F679"/>
    </row>
    <row r="680" spans="1:6" x14ac:dyDescent="0.4">
      <c r="A680"/>
      <c r="B680"/>
      <c r="C680"/>
      <c r="D680"/>
      <c r="E680"/>
      <c r="F680"/>
    </row>
    <row r="681" spans="1:6" x14ac:dyDescent="0.4">
      <c r="A681"/>
      <c r="B681"/>
      <c r="C681"/>
      <c r="D681"/>
      <c r="E681"/>
      <c r="F681"/>
    </row>
    <row r="682" spans="1:6" x14ac:dyDescent="0.4">
      <c r="A682"/>
      <c r="B682"/>
      <c r="C682"/>
      <c r="D682"/>
      <c r="E682"/>
      <c r="F682"/>
    </row>
    <row r="683" spans="1:6" x14ac:dyDescent="0.4">
      <c r="A683"/>
      <c r="B683"/>
      <c r="C683"/>
      <c r="D683"/>
      <c r="E683"/>
      <c r="F683"/>
    </row>
    <row r="684" spans="1:6" x14ac:dyDescent="0.4">
      <c r="A684"/>
      <c r="B684"/>
      <c r="C684"/>
      <c r="D684"/>
      <c r="E684"/>
      <c r="F684"/>
    </row>
    <row r="685" spans="1:6" x14ac:dyDescent="0.4">
      <c r="A685"/>
      <c r="B685"/>
      <c r="C685"/>
      <c r="D685"/>
      <c r="E685"/>
      <c r="F685"/>
    </row>
    <row r="686" spans="1:6" x14ac:dyDescent="0.4">
      <c r="A686"/>
      <c r="B686"/>
      <c r="C686"/>
      <c r="D686"/>
      <c r="E686"/>
      <c r="F686"/>
    </row>
    <row r="687" spans="1:6" x14ac:dyDescent="0.4">
      <c r="A687"/>
      <c r="B687"/>
      <c r="C687"/>
      <c r="D687"/>
      <c r="E687"/>
      <c r="F687"/>
    </row>
    <row r="688" spans="1:6" x14ac:dyDescent="0.4">
      <c r="A688"/>
      <c r="B688"/>
      <c r="C688"/>
      <c r="D688"/>
      <c r="E688"/>
      <c r="F688"/>
    </row>
    <row r="689" spans="1:6" x14ac:dyDescent="0.4">
      <c r="A689"/>
      <c r="B689"/>
      <c r="C689"/>
      <c r="D689"/>
      <c r="E689"/>
      <c r="F689"/>
    </row>
    <row r="690" spans="1:6" x14ac:dyDescent="0.4">
      <c r="A690"/>
      <c r="B690"/>
      <c r="C690"/>
      <c r="D690"/>
      <c r="E690"/>
      <c r="F690"/>
    </row>
    <row r="691" spans="1:6" x14ac:dyDescent="0.4">
      <c r="A691"/>
      <c r="B691"/>
      <c r="C691"/>
      <c r="D691"/>
      <c r="E691"/>
      <c r="F691"/>
    </row>
    <row r="692" spans="1:6" x14ac:dyDescent="0.4">
      <c r="A692"/>
      <c r="B692"/>
      <c r="C692"/>
      <c r="D692"/>
      <c r="E692"/>
      <c r="F692"/>
    </row>
    <row r="693" spans="1:6" x14ac:dyDescent="0.4">
      <c r="A693"/>
      <c r="B693"/>
      <c r="C693"/>
      <c r="D693"/>
      <c r="E693"/>
      <c r="F693"/>
    </row>
    <row r="694" spans="1:6" x14ac:dyDescent="0.4">
      <c r="A694"/>
      <c r="B694"/>
      <c r="C694"/>
      <c r="D694"/>
      <c r="E694"/>
      <c r="F694"/>
    </row>
    <row r="695" spans="1:6" x14ac:dyDescent="0.4">
      <c r="A695"/>
      <c r="B695"/>
      <c r="C695"/>
      <c r="D695"/>
      <c r="E695"/>
      <c r="F695"/>
    </row>
    <row r="696" spans="1:6" x14ac:dyDescent="0.4">
      <c r="A696"/>
      <c r="B696"/>
      <c r="C696"/>
      <c r="D696"/>
      <c r="E696"/>
      <c r="F696"/>
    </row>
    <row r="697" spans="1:6" x14ac:dyDescent="0.4">
      <c r="A697"/>
      <c r="B697"/>
      <c r="C697"/>
      <c r="D697"/>
      <c r="E697"/>
      <c r="F697"/>
    </row>
    <row r="698" spans="1:6" x14ac:dyDescent="0.4">
      <c r="A698"/>
      <c r="B698"/>
      <c r="C698"/>
      <c r="D698"/>
      <c r="E698"/>
      <c r="F698"/>
    </row>
    <row r="699" spans="1:6" x14ac:dyDescent="0.4">
      <c r="A699"/>
      <c r="B699"/>
      <c r="C699"/>
      <c r="D699"/>
      <c r="E699"/>
      <c r="F699"/>
    </row>
    <row r="700" spans="1:6" x14ac:dyDescent="0.4">
      <c r="A700"/>
      <c r="B700"/>
      <c r="C700"/>
      <c r="D700"/>
      <c r="E700"/>
      <c r="F700"/>
    </row>
    <row r="701" spans="1:6" x14ac:dyDescent="0.4">
      <c r="A701"/>
      <c r="B701"/>
      <c r="C701"/>
      <c r="D701"/>
      <c r="E701"/>
      <c r="F701"/>
    </row>
    <row r="702" spans="1:6" x14ac:dyDescent="0.4">
      <c r="A702"/>
      <c r="B702"/>
      <c r="C702"/>
      <c r="D702"/>
      <c r="E702"/>
      <c r="F702"/>
    </row>
    <row r="703" spans="1:6" x14ac:dyDescent="0.4">
      <c r="A703"/>
      <c r="B703"/>
      <c r="C703"/>
      <c r="D703"/>
      <c r="E703"/>
      <c r="F703"/>
    </row>
    <row r="704" spans="1:6" x14ac:dyDescent="0.4">
      <c r="A704"/>
      <c r="B704"/>
      <c r="C704"/>
      <c r="D704"/>
      <c r="E704"/>
      <c r="F704"/>
    </row>
    <row r="705" spans="1:6" x14ac:dyDescent="0.4">
      <c r="A705"/>
      <c r="B705"/>
      <c r="C705"/>
      <c r="D705"/>
      <c r="E705"/>
      <c r="F705"/>
    </row>
    <row r="706" spans="1:6" x14ac:dyDescent="0.4">
      <c r="A706"/>
      <c r="B706"/>
      <c r="C706"/>
      <c r="D706"/>
      <c r="E706"/>
      <c r="F706"/>
    </row>
    <row r="707" spans="1:6" x14ac:dyDescent="0.4">
      <c r="A707"/>
      <c r="B707"/>
      <c r="C707"/>
      <c r="D707"/>
      <c r="E707"/>
      <c r="F707"/>
    </row>
    <row r="708" spans="1:6" x14ac:dyDescent="0.4">
      <c r="A708"/>
      <c r="B708"/>
      <c r="C708"/>
      <c r="D708"/>
      <c r="E708"/>
      <c r="F708"/>
    </row>
    <row r="709" spans="1:6" x14ac:dyDescent="0.4">
      <c r="A709"/>
      <c r="B709"/>
      <c r="C709"/>
      <c r="D709"/>
      <c r="E709"/>
      <c r="F709"/>
    </row>
    <row r="710" spans="1:6" x14ac:dyDescent="0.4">
      <c r="A710"/>
      <c r="B710"/>
      <c r="C710"/>
      <c r="D710"/>
      <c r="E710"/>
      <c r="F710"/>
    </row>
    <row r="711" spans="1:6" x14ac:dyDescent="0.4">
      <c r="A711"/>
      <c r="B711"/>
      <c r="C711"/>
      <c r="D711"/>
      <c r="E711"/>
      <c r="F711"/>
    </row>
    <row r="712" spans="1:6" x14ac:dyDescent="0.4">
      <c r="A712"/>
      <c r="B712"/>
      <c r="C712"/>
      <c r="D712"/>
      <c r="E712"/>
      <c r="F712"/>
    </row>
    <row r="713" spans="1:6" x14ac:dyDescent="0.4">
      <c r="A713"/>
      <c r="B713"/>
      <c r="C713"/>
      <c r="D713"/>
      <c r="E713"/>
      <c r="F713"/>
    </row>
    <row r="714" spans="1:6" x14ac:dyDescent="0.4">
      <c r="A714"/>
      <c r="B714"/>
      <c r="C714"/>
      <c r="D714"/>
      <c r="E714"/>
      <c r="F714"/>
    </row>
    <row r="715" spans="1:6" x14ac:dyDescent="0.4">
      <c r="A715"/>
      <c r="B715"/>
      <c r="C715"/>
      <c r="D715"/>
      <c r="E715"/>
      <c r="F715"/>
    </row>
    <row r="716" spans="1:6" x14ac:dyDescent="0.4">
      <c r="A716"/>
      <c r="B716"/>
      <c r="C716"/>
      <c r="D716"/>
      <c r="E716"/>
      <c r="F716"/>
    </row>
    <row r="717" spans="1:6" x14ac:dyDescent="0.4">
      <c r="A717"/>
      <c r="B717"/>
      <c r="C717"/>
      <c r="D717"/>
      <c r="E717"/>
      <c r="F717"/>
    </row>
    <row r="718" spans="1:6" x14ac:dyDescent="0.4">
      <c r="A718"/>
      <c r="B718"/>
      <c r="C718"/>
      <c r="D718"/>
      <c r="E718"/>
      <c r="F718"/>
    </row>
    <row r="719" spans="1:6" x14ac:dyDescent="0.4">
      <c r="A719"/>
      <c r="B719"/>
      <c r="C719"/>
      <c r="D719"/>
      <c r="E719"/>
      <c r="F719"/>
    </row>
    <row r="720" spans="1:6" x14ac:dyDescent="0.4">
      <c r="A720"/>
      <c r="B720"/>
      <c r="C720"/>
      <c r="D720"/>
      <c r="E720"/>
      <c r="F720"/>
    </row>
    <row r="721" spans="1:6" x14ac:dyDescent="0.4">
      <c r="A721"/>
      <c r="B721"/>
      <c r="C721"/>
      <c r="D721"/>
      <c r="E721"/>
      <c r="F721"/>
    </row>
    <row r="722" spans="1:6" x14ac:dyDescent="0.4">
      <c r="A722"/>
      <c r="B722"/>
      <c r="C722"/>
      <c r="D722"/>
      <c r="E722"/>
      <c r="F722"/>
    </row>
    <row r="723" spans="1:6" x14ac:dyDescent="0.4">
      <c r="A723"/>
      <c r="B723"/>
      <c r="C723"/>
      <c r="D723"/>
      <c r="E723"/>
      <c r="F723"/>
    </row>
    <row r="724" spans="1:6" x14ac:dyDescent="0.4">
      <c r="A724"/>
      <c r="B724"/>
      <c r="C724"/>
      <c r="D724"/>
      <c r="E724"/>
      <c r="F724"/>
    </row>
    <row r="725" spans="1:6" x14ac:dyDescent="0.4">
      <c r="A725"/>
      <c r="B725"/>
      <c r="C725"/>
      <c r="D725"/>
      <c r="E725"/>
      <c r="F725"/>
    </row>
    <row r="726" spans="1:6" x14ac:dyDescent="0.4">
      <c r="A726"/>
      <c r="B726"/>
      <c r="C726"/>
      <c r="D726"/>
      <c r="E726"/>
      <c r="F726"/>
    </row>
    <row r="727" spans="1:6" x14ac:dyDescent="0.4">
      <c r="A727"/>
      <c r="B727"/>
      <c r="C727"/>
      <c r="D727"/>
      <c r="E727"/>
      <c r="F727"/>
    </row>
    <row r="728" spans="1:6" x14ac:dyDescent="0.4">
      <c r="A728"/>
      <c r="B728"/>
      <c r="C728"/>
      <c r="D728"/>
      <c r="E728"/>
      <c r="F728"/>
    </row>
    <row r="729" spans="1:6" x14ac:dyDescent="0.4">
      <c r="A729"/>
      <c r="B729"/>
      <c r="C729"/>
      <c r="D729"/>
      <c r="E729"/>
      <c r="F729"/>
    </row>
    <row r="730" spans="1:6" x14ac:dyDescent="0.4">
      <c r="A730"/>
      <c r="B730"/>
      <c r="C730"/>
      <c r="D730"/>
      <c r="E730"/>
      <c r="F730"/>
    </row>
    <row r="731" spans="1:6" x14ac:dyDescent="0.4">
      <c r="A731"/>
      <c r="B731"/>
      <c r="C731"/>
      <c r="D731"/>
      <c r="E731"/>
      <c r="F731"/>
    </row>
    <row r="732" spans="1:6" x14ac:dyDescent="0.4">
      <c r="A732"/>
      <c r="B732"/>
      <c r="C732"/>
      <c r="D732"/>
      <c r="E732"/>
      <c r="F732"/>
    </row>
    <row r="733" spans="1:6" x14ac:dyDescent="0.4">
      <c r="A733"/>
      <c r="B733"/>
      <c r="C733"/>
      <c r="D733"/>
      <c r="E733"/>
      <c r="F733"/>
    </row>
    <row r="734" spans="1:6" x14ac:dyDescent="0.4">
      <c r="A734"/>
      <c r="B734"/>
      <c r="C734"/>
      <c r="D734"/>
      <c r="E734"/>
      <c r="F734"/>
    </row>
    <row r="735" spans="1:6" x14ac:dyDescent="0.4">
      <c r="A735"/>
      <c r="B735"/>
      <c r="C735"/>
      <c r="D735"/>
      <c r="E735"/>
      <c r="F735"/>
    </row>
    <row r="736" spans="1:6" x14ac:dyDescent="0.4">
      <c r="A736"/>
      <c r="B736"/>
      <c r="C736"/>
      <c r="D736"/>
      <c r="E736"/>
      <c r="F736"/>
    </row>
    <row r="737" spans="1:6" x14ac:dyDescent="0.4">
      <c r="A737"/>
      <c r="B737"/>
      <c r="C737"/>
      <c r="D737"/>
      <c r="E737"/>
      <c r="F737"/>
    </row>
    <row r="738" spans="1:6" x14ac:dyDescent="0.4">
      <c r="A738"/>
      <c r="B738"/>
      <c r="C738"/>
      <c r="D738"/>
      <c r="E738"/>
      <c r="F738"/>
    </row>
    <row r="739" spans="1:6" x14ac:dyDescent="0.4">
      <c r="A739"/>
      <c r="B739"/>
      <c r="C739"/>
      <c r="D739"/>
      <c r="E739"/>
      <c r="F739"/>
    </row>
    <row r="740" spans="1:6" x14ac:dyDescent="0.4">
      <c r="A740"/>
      <c r="B740"/>
      <c r="C740"/>
      <c r="D740"/>
      <c r="E740"/>
      <c r="F740"/>
    </row>
    <row r="741" spans="1:6" x14ac:dyDescent="0.4">
      <c r="A741"/>
      <c r="B741"/>
      <c r="C741"/>
      <c r="D741"/>
      <c r="E741"/>
      <c r="F741"/>
    </row>
    <row r="742" spans="1:6" x14ac:dyDescent="0.4">
      <c r="A742"/>
      <c r="B742"/>
      <c r="C742"/>
      <c r="D742"/>
      <c r="E742"/>
      <c r="F742"/>
    </row>
    <row r="743" spans="1:6" x14ac:dyDescent="0.4">
      <c r="A743"/>
      <c r="B743"/>
      <c r="C743"/>
      <c r="D743"/>
      <c r="E743"/>
      <c r="F743"/>
    </row>
    <row r="744" spans="1:6" x14ac:dyDescent="0.4">
      <c r="A744"/>
      <c r="B744"/>
      <c r="C744"/>
      <c r="D744"/>
      <c r="E744"/>
      <c r="F744"/>
    </row>
    <row r="745" spans="1:6" x14ac:dyDescent="0.4">
      <c r="A745"/>
      <c r="B745"/>
      <c r="C745"/>
      <c r="D745"/>
      <c r="E745"/>
      <c r="F745"/>
    </row>
    <row r="746" spans="1:6" x14ac:dyDescent="0.4">
      <c r="A746"/>
      <c r="B746"/>
      <c r="C746"/>
      <c r="D746"/>
      <c r="E746"/>
      <c r="F746"/>
    </row>
    <row r="747" spans="1:6" x14ac:dyDescent="0.4">
      <c r="A747"/>
      <c r="B747"/>
      <c r="C747"/>
      <c r="D747"/>
      <c r="E747"/>
      <c r="F747"/>
    </row>
    <row r="748" spans="1:6" x14ac:dyDescent="0.4">
      <c r="A748"/>
      <c r="B748"/>
      <c r="C748"/>
      <c r="D748"/>
      <c r="E748"/>
      <c r="F748"/>
    </row>
    <row r="749" spans="1:6" x14ac:dyDescent="0.4">
      <c r="A749"/>
      <c r="B749"/>
      <c r="C749"/>
      <c r="D749"/>
      <c r="E749"/>
      <c r="F749"/>
    </row>
    <row r="750" spans="1:6" x14ac:dyDescent="0.4">
      <c r="A750"/>
      <c r="B750"/>
      <c r="C750"/>
      <c r="D750"/>
      <c r="E750"/>
      <c r="F750"/>
    </row>
    <row r="751" spans="1:6" x14ac:dyDescent="0.4">
      <c r="A751"/>
      <c r="B751"/>
      <c r="C751"/>
      <c r="D751"/>
      <c r="E751"/>
      <c r="F751"/>
    </row>
    <row r="752" spans="1:6" x14ac:dyDescent="0.4">
      <c r="A752"/>
      <c r="B752"/>
      <c r="C752"/>
      <c r="D752"/>
      <c r="E752"/>
      <c r="F752"/>
    </row>
    <row r="753" spans="1:6" x14ac:dyDescent="0.4">
      <c r="A753"/>
      <c r="B753"/>
      <c r="C753"/>
      <c r="D753"/>
      <c r="E753"/>
      <c r="F753"/>
    </row>
    <row r="754" spans="1:6" x14ac:dyDescent="0.4">
      <c r="A754"/>
      <c r="B754"/>
      <c r="C754"/>
      <c r="D754"/>
      <c r="E754"/>
      <c r="F754"/>
    </row>
    <row r="755" spans="1:6" x14ac:dyDescent="0.4">
      <c r="A755"/>
      <c r="B755"/>
      <c r="C755"/>
      <c r="D755"/>
      <c r="E755"/>
      <c r="F755"/>
    </row>
    <row r="756" spans="1:6" x14ac:dyDescent="0.4">
      <c r="A756"/>
      <c r="B756"/>
      <c r="C756"/>
      <c r="D756"/>
      <c r="E756"/>
      <c r="F756"/>
    </row>
    <row r="757" spans="1:6" x14ac:dyDescent="0.4">
      <c r="A757"/>
      <c r="B757"/>
      <c r="C757"/>
      <c r="D757"/>
      <c r="E757"/>
      <c r="F757"/>
    </row>
    <row r="758" spans="1:6" x14ac:dyDescent="0.4">
      <c r="A758"/>
      <c r="B758"/>
      <c r="C758"/>
      <c r="D758"/>
      <c r="E758"/>
      <c r="F758"/>
    </row>
    <row r="759" spans="1:6" x14ac:dyDescent="0.4">
      <c r="A759"/>
      <c r="B759"/>
      <c r="C759"/>
      <c r="D759"/>
      <c r="E759"/>
      <c r="F759"/>
    </row>
    <row r="760" spans="1:6" x14ac:dyDescent="0.4">
      <c r="A760"/>
      <c r="B760"/>
      <c r="C760"/>
      <c r="D760"/>
      <c r="E760"/>
      <c r="F760"/>
    </row>
    <row r="761" spans="1:6" x14ac:dyDescent="0.4">
      <c r="A761"/>
      <c r="B761"/>
      <c r="C761"/>
      <c r="D761"/>
      <c r="E761"/>
      <c r="F761"/>
    </row>
    <row r="762" spans="1:6" x14ac:dyDescent="0.4">
      <c r="A762"/>
      <c r="B762"/>
      <c r="C762"/>
      <c r="D762"/>
      <c r="E762"/>
      <c r="F762"/>
    </row>
    <row r="763" spans="1:6" x14ac:dyDescent="0.4">
      <c r="A763"/>
      <c r="B763"/>
      <c r="C763"/>
      <c r="D763"/>
      <c r="E763"/>
      <c r="F763"/>
    </row>
    <row r="764" spans="1:6" x14ac:dyDescent="0.4">
      <c r="A764"/>
      <c r="B764"/>
      <c r="C764"/>
      <c r="D764"/>
      <c r="E764"/>
      <c r="F764"/>
    </row>
    <row r="765" spans="1:6" x14ac:dyDescent="0.4">
      <c r="A765"/>
      <c r="B765"/>
      <c r="C765"/>
      <c r="D765"/>
      <c r="E765"/>
      <c r="F765"/>
    </row>
    <row r="766" spans="1:6" x14ac:dyDescent="0.4">
      <c r="A766"/>
      <c r="B766"/>
      <c r="C766"/>
      <c r="D766"/>
      <c r="E766"/>
      <c r="F766"/>
    </row>
    <row r="767" spans="1:6" x14ac:dyDescent="0.4">
      <c r="A767"/>
      <c r="B767"/>
      <c r="C767"/>
      <c r="D767"/>
      <c r="E767"/>
      <c r="F767"/>
    </row>
    <row r="768" spans="1:6" x14ac:dyDescent="0.4">
      <c r="A768"/>
      <c r="B768"/>
      <c r="C768"/>
      <c r="D768"/>
      <c r="E768"/>
      <c r="F768"/>
    </row>
    <row r="769" spans="1:6" x14ac:dyDescent="0.4">
      <c r="A769"/>
      <c r="B769"/>
      <c r="C769"/>
      <c r="D769"/>
      <c r="E769"/>
      <c r="F769"/>
    </row>
    <row r="770" spans="1:6" x14ac:dyDescent="0.4">
      <c r="A770"/>
      <c r="B770"/>
      <c r="C770"/>
      <c r="D770"/>
      <c r="E770"/>
      <c r="F770"/>
    </row>
    <row r="771" spans="1:6" x14ac:dyDescent="0.4">
      <c r="A771"/>
      <c r="B771"/>
      <c r="C771"/>
      <c r="D771"/>
      <c r="E771"/>
      <c r="F771"/>
    </row>
    <row r="772" spans="1:6" x14ac:dyDescent="0.4">
      <c r="A772"/>
      <c r="B772"/>
      <c r="C772"/>
      <c r="D772"/>
      <c r="E772"/>
      <c r="F772"/>
    </row>
    <row r="773" spans="1:6" x14ac:dyDescent="0.4">
      <c r="A773"/>
      <c r="B773"/>
      <c r="C773"/>
      <c r="D773"/>
      <c r="E773"/>
      <c r="F773"/>
    </row>
    <row r="774" spans="1:6" x14ac:dyDescent="0.4">
      <c r="A774"/>
      <c r="B774"/>
      <c r="C774"/>
      <c r="D774"/>
      <c r="E774"/>
      <c r="F774"/>
    </row>
    <row r="775" spans="1:6" x14ac:dyDescent="0.4">
      <c r="A775"/>
      <c r="B775"/>
      <c r="C775"/>
      <c r="D775"/>
      <c r="E775"/>
      <c r="F775"/>
    </row>
    <row r="776" spans="1:6" x14ac:dyDescent="0.4">
      <c r="A776"/>
      <c r="B776"/>
      <c r="C776"/>
      <c r="D776"/>
      <c r="E776"/>
      <c r="F776"/>
    </row>
    <row r="777" spans="1:6" x14ac:dyDescent="0.4">
      <c r="A777"/>
      <c r="B777"/>
      <c r="C777"/>
      <c r="D777"/>
      <c r="E777"/>
      <c r="F777"/>
    </row>
    <row r="778" spans="1:6" x14ac:dyDescent="0.4">
      <c r="A778"/>
      <c r="B778"/>
      <c r="C778"/>
      <c r="D778"/>
      <c r="E778"/>
      <c r="F778"/>
    </row>
    <row r="779" spans="1:6" x14ac:dyDescent="0.4">
      <c r="A779"/>
      <c r="B779"/>
      <c r="C779"/>
      <c r="D779"/>
      <c r="E779"/>
      <c r="F779"/>
    </row>
    <row r="780" spans="1:6" x14ac:dyDescent="0.4">
      <c r="A780"/>
      <c r="B780"/>
      <c r="C780"/>
      <c r="D780"/>
      <c r="E780"/>
      <c r="F780"/>
    </row>
    <row r="781" spans="1:6" x14ac:dyDescent="0.4">
      <c r="A781"/>
      <c r="B781"/>
      <c r="C781"/>
      <c r="D781"/>
      <c r="E781"/>
      <c r="F781"/>
    </row>
    <row r="782" spans="1:6" x14ac:dyDescent="0.4">
      <c r="A782"/>
      <c r="B782"/>
      <c r="C782"/>
      <c r="D782"/>
      <c r="E782"/>
      <c r="F782"/>
    </row>
    <row r="783" spans="1:6" x14ac:dyDescent="0.4">
      <c r="A783"/>
      <c r="B783"/>
      <c r="C783"/>
      <c r="D783"/>
      <c r="E783"/>
      <c r="F783"/>
    </row>
    <row r="784" spans="1:6" x14ac:dyDescent="0.4">
      <c r="A784"/>
      <c r="B784"/>
      <c r="C784"/>
      <c r="D784"/>
      <c r="E784"/>
      <c r="F784"/>
    </row>
    <row r="785" spans="1:6" x14ac:dyDescent="0.4">
      <c r="A785"/>
      <c r="B785"/>
      <c r="C785"/>
      <c r="D785"/>
      <c r="E785"/>
      <c r="F785"/>
    </row>
    <row r="786" spans="1:6" x14ac:dyDescent="0.4">
      <c r="A786"/>
      <c r="B786"/>
      <c r="C786"/>
      <c r="D786"/>
      <c r="E786"/>
      <c r="F786"/>
    </row>
    <row r="787" spans="1:6" x14ac:dyDescent="0.4">
      <c r="A787"/>
      <c r="B787"/>
      <c r="C787"/>
      <c r="D787"/>
      <c r="E787"/>
      <c r="F787"/>
    </row>
    <row r="788" spans="1:6" x14ac:dyDescent="0.4">
      <c r="A788"/>
      <c r="B788"/>
      <c r="C788"/>
      <c r="D788"/>
      <c r="E788"/>
      <c r="F788"/>
    </row>
    <row r="789" spans="1:6" x14ac:dyDescent="0.4">
      <c r="A789"/>
      <c r="B789"/>
      <c r="C789"/>
      <c r="D789"/>
      <c r="E789"/>
      <c r="F789"/>
    </row>
    <row r="790" spans="1:6" x14ac:dyDescent="0.4">
      <c r="A790"/>
      <c r="B790"/>
      <c r="C790"/>
      <c r="D790"/>
      <c r="E790"/>
      <c r="F790"/>
    </row>
    <row r="791" spans="1:6" x14ac:dyDescent="0.4">
      <c r="A791"/>
      <c r="B791"/>
      <c r="C791"/>
      <c r="D791"/>
      <c r="E791"/>
      <c r="F791"/>
    </row>
    <row r="792" spans="1:6" x14ac:dyDescent="0.4">
      <c r="A792"/>
      <c r="B792"/>
      <c r="C792"/>
      <c r="D792"/>
      <c r="E792"/>
      <c r="F792"/>
    </row>
    <row r="793" spans="1:6" x14ac:dyDescent="0.4">
      <c r="A793"/>
      <c r="B793"/>
      <c r="C793"/>
      <c r="D793"/>
      <c r="E793"/>
      <c r="F793"/>
    </row>
    <row r="794" spans="1:6" x14ac:dyDescent="0.4">
      <c r="A794"/>
      <c r="B794"/>
      <c r="C794"/>
      <c r="D794"/>
      <c r="E794"/>
      <c r="F794"/>
    </row>
    <row r="795" spans="1:6" x14ac:dyDescent="0.4">
      <c r="A795"/>
      <c r="B795"/>
      <c r="C795"/>
      <c r="D795"/>
      <c r="E795"/>
      <c r="F795"/>
    </row>
    <row r="796" spans="1:6" x14ac:dyDescent="0.4">
      <c r="A796"/>
      <c r="B796"/>
      <c r="C796"/>
      <c r="D796"/>
      <c r="E796"/>
      <c r="F796"/>
    </row>
    <row r="797" spans="1:6" x14ac:dyDescent="0.4">
      <c r="A797"/>
      <c r="B797"/>
      <c r="C797"/>
      <c r="D797"/>
      <c r="E797"/>
      <c r="F797"/>
    </row>
    <row r="798" spans="1:6" x14ac:dyDescent="0.4">
      <c r="A798"/>
      <c r="B798"/>
      <c r="C798"/>
      <c r="D798"/>
      <c r="E798"/>
      <c r="F798"/>
    </row>
    <row r="799" spans="1:6" x14ac:dyDescent="0.4">
      <c r="A799"/>
      <c r="B799"/>
      <c r="C799"/>
      <c r="D799"/>
      <c r="E799"/>
      <c r="F799"/>
    </row>
    <row r="800" spans="1:6" x14ac:dyDescent="0.4">
      <c r="A800"/>
      <c r="B800"/>
      <c r="C800"/>
      <c r="D800"/>
      <c r="E800"/>
      <c r="F800"/>
    </row>
    <row r="801" spans="1:6" x14ac:dyDescent="0.4">
      <c r="A801"/>
      <c r="B801"/>
      <c r="C801"/>
      <c r="D801"/>
      <c r="E801"/>
      <c r="F801"/>
    </row>
    <row r="802" spans="1:6" x14ac:dyDescent="0.4">
      <c r="A802"/>
      <c r="B802"/>
      <c r="C802"/>
      <c r="D802"/>
      <c r="E802"/>
      <c r="F802"/>
    </row>
    <row r="803" spans="1:6" x14ac:dyDescent="0.4">
      <c r="A803"/>
      <c r="B803"/>
      <c r="C803"/>
      <c r="D803"/>
      <c r="E803"/>
      <c r="F803"/>
    </row>
    <row r="804" spans="1:6" x14ac:dyDescent="0.4">
      <c r="A804"/>
      <c r="B804"/>
      <c r="C804"/>
      <c r="D804"/>
      <c r="E804"/>
      <c r="F804"/>
    </row>
    <row r="805" spans="1:6" x14ac:dyDescent="0.4">
      <c r="A805"/>
      <c r="B805"/>
      <c r="C805"/>
      <c r="D805"/>
      <c r="E805"/>
      <c r="F805"/>
    </row>
    <row r="806" spans="1:6" x14ac:dyDescent="0.4">
      <c r="A806"/>
      <c r="B806"/>
      <c r="C806"/>
      <c r="D806"/>
      <c r="E806"/>
      <c r="F806"/>
    </row>
    <row r="807" spans="1:6" x14ac:dyDescent="0.4">
      <c r="A807"/>
      <c r="B807"/>
      <c r="C807"/>
      <c r="D807"/>
      <c r="E807"/>
      <c r="F807"/>
    </row>
    <row r="808" spans="1:6" x14ac:dyDescent="0.4">
      <c r="A808"/>
      <c r="B808"/>
      <c r="C808"/>
      <c r="D808"/>
      <c r="E808"/>
      <c r="F808"/>
    </row>
    <row r="809" spans="1:6" x14ac:dyDescent="0.4">
      <c r="A809"/>
      <c r="B809"/>
      <c r="C809"/>
      <c r="D809"/>
      <c r="E809"/>
      <c r="F809"/>
    </row>
    <row r="810" spans="1:6" x14ac:dyDescent="0.4">
      <c r="A810"/>
      <c r="B810"/>
      <c r="C810"/>
      <c r="D810"/>
      <c r="E810"/>
      <c r="F810"/>
    </row>
    <row r="811" spans="1:6" x14ac:dyDescent="0.4">
      <c r="A811"/>
      <c r="B811"/>
      <c r="C811"/>
      <c r="D811"/>
      <c r="E811"/>
      <c r="F811"/>
    </row>
    <row r="812" spans="1:6" x14ac:dyDescent="0.4">
      <c r="A812"/>
      <c r="B812"/>
      <c r="C812"/>
      <c r="D812"/>
      <c r="E812"/>
      <c r="F812"/>
    </row>
    <row r="813" spans="1:6" x14ac:dyDescent="0.4">
      <c r="A813"/>
      <c r="B813"/>
      <c r="C813"/>
      <c r="D813"/>
      <c r="E813"/>
      <c r="F813"/>
    </row>
    <row r="814" spans="1:6" x14ac:dyDescent="0.4">
      <c r="A814"/>
      <c r="B814"/>
      <c r="C814"/>
      <c r="D814"/>
      <c r="E814"/>
      <c r="F814"/>
    </row>
    <row r="815" spans="1:6" x14ac:dyDescent="0.4">
      <c r="A815"/>
      <c r="B815"/>
      <c r="C815"/>
      <c r="D815"/>
      <c r="E815"/>
      <c r="F815"/>
    </row>
    <row r="816" spans="1:6" x14ac:dyDescent="0.4">
      <c r="A816"/>
      <c r="B816"/>
      <c r="C816"/>
      <c r="D816"/>
      <c r="E816"/>
      <c r="F816"/>
    </row>
    <row r="817" spans="1:6" x14ac:dyDescent="0.4">
      <c r="A817"/>
      <c r="B817"/>
      <c r="C817"/>
      <c r="D817"/>
      <c r="E817"/>
      <c r="F817"/>
    </row>
    <row r="818" spans="1:6" x14ac:dyDescent="0.4">
      <c r="A818"/>
      <c r="B818"/>
      <c r="C818"/>
      <c r="D818"/>
      <c r="E818"/>
      <c r="F818"/>
    </row>
    <row r="819" spans="1:6" x14ac:dyDescent="0.4">
      <c r="A819"/>
      <c r="B819"/>
      <c r="C819"/>
      <c r="D819"/>
      <c r="E819"/>
      <c r="F819"/>
    </row>
    <row r="820" spans="1:6" x14ac:dyDescent="0.4">
      <c r="A820"/>
      <c r="B820"/>
      <c r="C820"/>
      <c r="D820"/>
      <c r="E820"/>
      <c r="F820"/>
    </row>
    <row r="821" spans="1:6" x14ac:dyDescent="0.4">
      <c r="A821"/>
      <c r="B821"/>
      <c r="C821"/>
      <c r="D821"/>
      <c r="E821"/>
      <c r="F821"/>
    </row>
    <row r="822" spans="1:6" x14ac:dyDescent="0.4">
      <c r="A822"/>
      <c r="B822"/>
      <c r="C822"/>
      <c r="D822"/>
      <c r="E822"/>
      <c r="F822"/>
    </row>
    <row r="823" spans="1:6" x14ac:dyDescent="0.4">
      <c r="A823"/>
      <c r="B823"/>
      <c r="C823"/>
      <c r="D823"/>
      <c r="E823"/>
      <c r="F823"/>
    </row>
    <row r="824" spans="1:6" x14ac:dyDescent="0.4">
      <c r="A824"/>
      <c r="B824"/>
      <c r="C824"/>
      <c r="D824"/>
      <c r="E824"/>
      <c r="F824"/>
    </row>
    <row r="825" spans="1:6" x14ac:dyDescent="0.4">
      <c r="A825"/>
      <c r="B825"/>
      <c r="C825"/>
      <c r="D825"/>
      <c r="E825"/>
      <c r="F825"/>
    </row>
    <row r="826" spans="1:6" x14ac:dyDescent="0.4">
      <c r="A826"/>
      <c r="B826"/>
      <c r="C826"/>
      <c r="D826"/>
      <c r="E826"/>
      <c r="F826"/>
    </row>
    <row r="827" spans="1:6" x14ac:dyDescent="0.4">
      <c r="A827"/>
      <c r="B827"/>
      <c r="C827"/>
      <c r="D827"/>
      <c r="E827"/>
      <c r="F827"/>
    </row>
    <row r="828" spans="1:6" x14ac:dyDescent="0.4">
      <c r="A828"/>
      <c r="B828"/>
      <c r="C828"/>
      <c r="D828"/>
      <c r="E828"/>
      <c r="F828"/>
    </row>
    <row r="829" spans="1:6" x14ac:dyDescent="0.4">
      <c r="A829"/>
      <c r="B829"/>
      <c r="C829"/>
      <c r="D829"/>
      <c r="E829"/>
      <c r="F829"/>
    </row>
    <row r="830" spans="1:6" x14ac:dyDescent="0.4">
      <c r="A830"/>
      <c r="B830"/>
      <c r="C830"/>
      <c r="D830"/>
      <c r="E830"/>
      <c r="F830"/>
    </row>
    <row r="831" spans="1:6" x14ac:dyDescent="0.4">
      <c r="A831"/>
      <c r="B831"/>
      <c r="C831"/>
      <c r="D831"/>
      <c r="E831"/>
      <c r="F831"/>
    </row>
    <row r="832" spans="1:6" x14ac:dyDescent="0.4">
      <c r="A832"/>
      <c r="B832"/>
      <c r="C832"/>
      <c r="D832"/>
      <c r="E832"/>
      <c r="F832"/>
    </row>
    <row r="833" spans="1:6" x14ac:dyDescent="0.4">
      <c r="A833"/>
      <c r="B833"/>
      <c r="C833"/>
      <c r="D833"/>
      <c r="E833"/>
      <c r="F833"/>
    </row>
    <row r="834" spans="1:6" x14ac:dyDescent="0.4">
      <c r="A834"/>
      <c r="B834"/>
      <c r="C834"/>
      <c r="D834"/>
      <c r="E834"/>
      <c r="F834"/>
    </row>
    <row r="835" spans="1:6" x14ac:dyDescent="0.4">
      <c r="A835"/>
      <c r="B835"/>
      <c r="C835"/>
      <c r="D835"/>
      <c r="E835"/>
      <c r="F835"/>
    </row>
    <row r="836" spans="1:6" x14ac:dyDescent="0.4">
      <c r="A836"/>
      <c r="B836"/>
      <c r="C836"/>
      <c r="D836"/>
      <c r="E836"/>
      <c r="F836"/>
    </row>
    <row r="837" spans="1:6" x14ac:dyDescent="0.4">
      <c r="A837"/>
      <c r="B837"/>
      <c r="C837"/>
      <c r="D837"/>
      <c r="E837"/>
      <c r="F837"/>
    </row>
    <row r="838" spans="1:6" x14ac:dyDescent="0.4">
      <c r="A838"/>
      <c r="B838"/>
      <c r="C838"/>
      <c r="D838"/>
      <c r="E838"/>
      <c r="F838"/>
    </row>
    <row r="839" spans="1:6" x14ac:dyDescent="0.4">
      <c r="A839"/>
      <c r="B839"/>
      <c r="C839"/>
      <c r="D839"/>
      <c r="E839"/>
      <c r="F839"/>
    </row>
    <row r="840" spans="1:6" x14ac:dyDescent="0.4">
      <c r="A840"/>
      <c r="B840"/>
      <c r="C840"/>
      <c r="D840"/>
      <c r="E840"/>
      <c r="F840"/>
    </row>
    <row r="841" spans="1:6" x14ac:dyDescent="0.4">
      <c r="A841"/>
      <c r="B841"/>
      <c r="C841"/>
      <c r="D841"/>
      <c r="E841"/>
      <c r="F841"/>
    </row>
    <row r="842" spans="1:6" x14ac:dyDescent="0.4">
      <c r="A842"/>
      <c r="B842"/>
      <c r="C842"/>
      <c r="D842"/>
      <c r="E842"/>
      <c r="F842"/>
    </row>
    <row r="843" spans="1:6" x14ac:dyDescent="0.4">
      <c r="A843"/>
      <c r="B843"/>
      <c r="C843"/>
      <c r="D843"/>
      <c r="E843"/>
      <c r="F843"/>
    </row>
    <row r="844" spans="1:6" x14ac:dyDescent="0.4">
      <c r="A844"/>
      <c r="B844"/>
      <c r="C844"/>
      <c r="D844"/>
      <c r="E844"/>
      <c r="F844"/>
    </row>
    <row r="845" spans="1:6" x14ac:dyDescent="0.4">
      <c r="A845"/>
      <c r="B845"/>
      <c r="C845"/>
      <c r="D845"/>
      <c r="E845"/>
      <c r="F845"/>
    </row>
    <row r="846" spans="1:6" x14ac:dyDescent="0.4">
      <c r="A846"/>
      <c r="B846"/>
      <c r="C846"/>
      <c r="D846"/>
      <c r="E846"/>
      <c r="F846"/>
    </row>
    <row r="847" spans="1:6" x14ac:dyDescent="0.4">
      <c r="A847"/>
      <c r="B847"/>
      <c r="C847"/>
      <c r="D847"/>
      <c r="E847"/>
      <c r="F847"/>
    </row>
    <row r="848" spans="1:6" x14ac:dyDescent="0.4">
      <c r="A848"/>
      <c r="B848"/>
      <c r="C848"/>
      <c r="D848"/>
      <c r="E848"/>
      <c r="F848"/>
    </row>
    <row r="849" spans="1:6" x14ac:dyDescent="0.4">
      <c r="A849"/>
      <c r="B849"/>
      <c r="C849"/>
      <c r="D849"/>
      <c r="E849"/>
      <c r="F849"/>
    </row>
    <row r="850" spans="1:6" x14ac:dyDescent="0.4">
      <c r="A850"/>
      <c r="B850"/>
      <c r="C850"/>
      <c r="D850"/>
      <c r="E850"/>
      <c r="F850"/>
    </row>
    <row r="851" spans="1:6" x14ac:dyDescent="0.4">
      <c r="A851"/>
      <c r="B851"/>
      <c r="C851"/>
      <c r="D851"/>
      <c r="E851"/>
      <c r="F851"/>
    </row>
    <row r="852" spans="1:6" x14ac:dyDescent="0.4">
      <c r="A852"/>
      <c r="B852"/>
      <c r="C852"/>
      <c r="D852"/>
      <c r="E852"/>
      <c r="F852"/>
    </row>
    <row r="853" spans="1:6" x14ac:dyDescent="0.4">
      <c r="A853"/>
      <c r="B853"/>
      <c r="C853"/>
      <c r="D853"/>
      <c r="E853"/>
      <c r="F853"/>
    </row>
    <row r="854" spans="1:6" x14ac:dyDescent="0.4">
      <c r="A854"/>
      <c r="B854"/>
      <c r="C854"/>
      <c r="D854"/>
      <c r="E854"/>
      <c r="F854"/>
    </row>
    <row r="855" spans="1:6" x14ac:dyDescent="0.4">
      <c r="A855"/>
      <c r="B855"/>
      <c r="C855"/>
      <c r="D855"/>
      <c r="E855"/>
      <c r="F855"/>
    </row>
    <row r="856" spans="1:6" x14ac:dyDescent="0.4">
      <c r="A856"/>
      <c r="B856"/>
      <c r="C856"/>
      <c r="D856"/>
      <c r="E856"/>
      <c r="F856"/>
    </row>
    <row r="857" spans="1:6" x14ac:dyDescent="0.4">
      <c r="A857"/>
      <c r="B857"/>
      <c r="C857"/>
      <c r="D857"/>
      <c r="E857"/>
      <c r="F857"/>
    </row>
    <row r="858" spans="1:6" x14ac:dyDescent="0.4">
      <c r="A858"/>
      <c r="B858"/>
      <c r="C858"/>
      <c r="D858"/>
      <c r="E858"/>
      <c r="F858"/>
    </row>
    <row r="859" spans="1:6" x14ac:dyDescent="0.4">
      <c r="A859"/>
      <c r="B859"/>
      <c r="C859"/>
      <c r="D859"/>
      <c r="E859"/>
      <c r="F859"/>
    </row>
    <row r="860" spans="1:6" x14ac:dyDescent="0.4">
      <c r="A860"/>
      <c r="B860"/>
      <c r="C860"/>
      <c r="D860"/>
      <c r="E860"/>
      <c r="F860"/>
    </row>
    <row r="861" spans="1:6" x14ac:dyDescent="0.4">
      <c r="A861"/>
      <c r="B861"/>
      <c r="C861"/>
      <c r="D861"/>
      <c r="E861"/>
      <c r="F861"/>
    </row>
    <row r="862" spans="1:6" x14ac:dyDescent="0.4">
      <c r="A862"/>
      <c r="B862"/>
      <c r="C862"/>
      <c r="D862"/>
      <c r="E862"/>
      <c r="F862"/>
    </row>
    <row r="863" spans="1:6" x14ac:dyDescent="0.4">
      <c r="A863"/>
      <c r="B863"/>
      <c r="C863"/>
      <c r="D863"/>
      <c r="E863"/>
      <c r="F863"/>
    </row>
    <row r="864" spans="1:6" x14ac:dyDescent="0.4">
      <c r="A864"/>
      <c r="B864"/>
      <c r="C864"/>
      <c r="D864"/>
      <c r="E864"/>
      <c r="F864"/>
    </row>
    <row r="865" spans="1:6" x14ac:dyDescent="0.4">
      <c r="A865"/>
      <c r="B865"/>
      <c r="C865"/>
      <c r="D865"/>
      <c r="E865"/>
      <c r="F865"/>
    </row>
    <row r="866" spans="1:6" x14ac:dyDescent="0.4">
      <c r="A866"/>
      <c r="B866"/>
      <c r="C866"/>
      <c r="D866"/>
      <c r="E866"/>
      <c r="F866"/>
    </row>
    <row r="867" spans="1:6" x14ac:dyDescent="0.4">
      <c r="A867"/>
      <c r="B867"/>
      <c r="C867"/>
      <c r="D867"/>
      <c r="E867"/>
      <c r="F867"/>
    </row>
    <row r="868" spans="1:6" x14ac:dyDescent="0.4">
      <c r="A868"/>
      <c r="B868"/>
      <c r="C868"/>
      <c r="D868"/>
      <c r="E868"/>
      <c r="F868"/>
    </row>
    <row r="869" spans="1:6" x14ac:dyDescent="0.4">
      <c r="A869"/>
      <c r="B869"/>
      <c r="C869"/>
      <c r="D869"/>
      <c r="E869"/>
      <c r="F869"/>
    </row>
    <row r="870" spans="1:6" x14ac:dyDescent="0.4">
      <c r="A870"/>
      <c r="B870"/>
      <c r="C870"/>
      <c r="D870"/>
      <c r="E870"/>
      <c r="F870"/>
    </row>
    <row r="871" spans="1:6" x14ac:dyDescent="0.4">
      <c r="A871"/>
      <c r="B871"/>
      <c r="C871"/>
      <c r="D871"/>
      <c r="E871"/>
      <c r="F871"/>
    </row>
    <row r="872" spans="1:6" x14ac:dyDescent="0.4">
      <c r="A872"/>
      <c r="B872"/>
      <c r="C872"/>
      <c r="D872"/>
      <c r="E872"/>
      <c r="F872"/>
    </row>
    <row r="873" spans="1:6" x14ac:dyDescent="0.4">
      <c r="A873"/>
      <c r="B873"/>
      <c r="C873"/>
      <c r="D873"/>
      <c r="E873"/>
      <c r="F873"/>
    </row>
    <row r="874" spans="1:6" x14ac:dyDescent="0.4">
      <c r="A874"/>
      <c r="B874"/>
      <c r="C874"/>
      <c r="D874"/>
      <c r="E874"/>
      <c r="F874"/>
    </row>
    <row r="875" spans="1:6" x14ac:dyDescent="0.4">
      <c r="A875"/>
      <c r="B875"/>
      <c r="C875"/>
      <c r="D875"/>
      <c r="E875"/>
      <c r="F875"/>
    </row>
    <row r="876" spans="1:6" x14ac:dyDescent="0.4">
      <c r="A876"/>
      <c r="B876"/>
      <c r="C876"/>
      <c r="D876"/>
      <c r="E876"/>
      <c r="F876"/>
    </row>
    <row r="877" spans="1:6" x14ac:dyDescent="0.4">
      <c r="A877"/>
      <c r="B877"/>
      <c r="C877"/>
      <c r="D877"/>
      <c r="E877"/>
      <c r="F877"/>
    </row>
    <row r="878" spans="1:6" x14ac:dyDescent="0.4">
      <c r="A878"/>
      <c r="B878"/>
      <c r="C878"/>
      <c r="D878"/>
      <c r="E878"/>
      <c r="F878"/>
    </row>
    <row r="879" spans="1:6" x14ac:dyDescent="0.4">
      <c r="A879"/>
      <c r="B879"/>
      <c r="C879"/>
      <c r="D879"/>
      <c r="E879"/>
      <c r="F879"/>
    </row>
    <row r="880" spans="1:6" x14ac:dyDescent="0.4">
      <c r="A880"/>
      <c r="B880"/>
      <c r="C880"/>
      <c r="D880"/>
      <c r="E880"/>
      <c r="F880"/>
    </row>
    <row r="881" spans="1:6" x14ac:dyDescent="0.4">
      <c r="A881"/>
      <c r="B881"/>
      <c r="C881"/>
      <c r="D881"/>
      <c r="E881"/>
      <c r="F881"/>
    </row>
    <row r="882" spans="1:6" x14ac:dyDescent="0.4">
      <c r="A882"/>
      <c r="B882"/>
      <c r="C882"/>
      <c r="D882"/>
      <c r="E882"/>
      <c r="F882"/>
    </row>
    <row r="883" spans="1:6" x14ac:dyDescent="0.4">
      <c r="A883"/>
      <c r="B883"/>
      <c r="C883"/>
      <c r="D883"/>
      <c r="E883"/>
      <c r="F883"/>
    </row>
    <row r="884" spans="1:6" x14ac:dyDescent="0.4">
      <c r="A884"/>
      <c r="B884"/>
      <c r="C884"/>
      <c r="D884"/>
      <c r="E884"/>
      <c r="F884"/>
    </row>
    <row r="885" spans="1:6" x14ac:dyDescent="0.4">
      <c r="A885"/>
      <c r="B885"/>
      <c r="C885"/>
      <c r="D885"/>
      <c r="E885"/>
      <c r="F885"/>
    </row>
    <row r="886" spans="1:6" x14ac:dyDescent="0.4">
      <c r="A886"/>
      <c r="B886"/>
      <c r="C886"/>
      <c r="D886"/>
      <c r="E886"/>
      <c r="F886"/>
    </row>
    <row r="887" spans="1:6" x14ac:dyDescent="0.4">
      <c r="A887"/>
      <c r="B887"/>
      <c r="C887"/>
      <c r="D887"/>
      <c r="E887"/>
      <c r="F887"/>
    </row>
    <row r="888" spans="1:6" x14ac:dyDescent="0.4">
      <c r="A888"/>
      <c r="B888"/>
      <c r="C888"/>
      <c r="D888"/>
      <c r="E888"/>
      <c r="F888"/>
    </row>
    <row r="889" spans="1:6" x14ac:dyDescent="0.4">
      <c r="A889"/>
      <c r="B889"/>
      <c r="C889"/>
      <c r="D889"/>
      <c r="E889"/>
      <c r="F889"/>
    </row>
    <row r="890" spans="1:6" x14ac:dyDescent="0.4">
      <c r="A890"/>
      <c r="B890"/>
      <c r="C890"/>
      <c r="D890"/>
      <c r="E890"/>
      <c r="F890"/>
    </row>
    <row r="891" spans="1:6" x14ac:dyDescent="0.4">
      <c r="A891"/>
      <c r="B891"/>
      <c r="C891"/>
      <c r="D891"/>
      <c r="E891"/>
      <c r="F891"/>
    </row>
    <row r="892" spans="1:6" x14ac:dyDescent="0.4">
      <c r="A892"/>
      <c r="B892"/>
      <c r="C892"/>
      <c r="D892"/>
      <c r="E892"/>
      <c r="F892"/>
    </row>
    <row r="893" spans="1:6" x14ac:dyDescent="0.4">
      <c r="A893"/>
      <c r="B893"/>
      <c r="C893"/>
      <c r="D893"/>
      <c r="E893"/>
      <c r="F893"/>
    </row>
    <row r="894" spans="1:6" x14ac:dyDescent="0.4">
      <c r="A894"/>
      <c r="B894"/>
      <c r="C894"/>
      <c r="D894"/>
      <c r="E894"/>
      <c r="F894"/>
    </row>
    <row r="895" spans="1:6" x14ac:dyDescent="0.4">
      <c r="A895"/>
      <c r="B895"/>
      <c r="C895"/>
      <c r="D895"/>
      <c r="E895"/>
      <c r="F895"/>
    </row>
    <row r="896" spans="1:6" x14ac:dyDescent="0.4">
      <c r="A896"/>
      <c r="B896"/>
      <c r="C896"/>
      <c r="D896"/>
      <c r="E896"/>
      <c r="F896"/>
    </row>
    <row r="897" spans="1:6" x14ac:dyDescent="0.4">
      <c r="A897"/>
      <c r="B897"/>
      <c r="C897"/>
      <c r="D897"/>
      <c r="E897"/>
      <c r="F897"/>
    </row>
    <row r="898" spans="1:6" x14ac:dyDescent="0.4">
      <c r="A898"/>
      <c r="B898"/>
      <c r="C898"/>
      <c r="D898"/>
      <c r="E898"/>
      <c r="F898"/>
    </row>
    <row r="899" spans="1:6" x14ac:dyDescent="0.4">
      <c r="A899"/>
      <c r="B899"/>
      <c r="C899"/>
      <c r="D899"/>
      <c r="E899"/>
      <c r="F899"/>
    </row>
    <row r="900" spans="1:6" x14ac:dyDescent="0.4">
      <c r="A900"/>
      <c r="B900"/>
      <c r="C900"/>
      <c r="D900"/>
      <c r="E900"/>
      <c r="F900"/>
    </row>
    <row r="901" spans="1:6" x14ac:dyDescent="0.4">
      <c r="A901"/>
      <c r="B901"/>
      <c r="C901"/>
      <c r="D901"/>
      <c r="E901"/>
      <c r="F901"/>
    </row>
    <row r="902" spans="1:6" x14ac:dyDescent="0.4">
      <c r="A902"/>
      <c r="B902"/>
      <c r="C902"/>
      <c r="D902"/>
      <c r="E902"/>
      <c r="F902"/>
    </row>
    <row r="903" spans="1:6" x14ac:dyDescent="0.4">
      <c r="A903"/>
      <c r="B903"/>
      <c r="C903"/>
      <c r="D903"/>
      <c r="E903"/>
      <c r="F903"/>
    </row>
    <row r="904" spans="1:6" x14ac:dyDescent="0.4">
      <c r="A904"/>
      <c r="B904"/>
      <c r="C904"/>
      <c r="D904"/>
      <c r="E904"/>
      <c r="F904"/>
    </row>
    <row r="905" spans="1:6" x14ac:dyDescent="0.4">
      <c r="A905"/>
      <c r="B905"/>
      <c r="C905"/>
      <c r="D905"/>
      <c r="E905"/>
      <c r="F905"/>
    </row>
    <row r="906" spans="1:6" x14ac:dyDescent="0.4">
      <c r="A906"/>
      <c r="B906"/>
      <c r="C906"/>
      <c r="D906"/>
      <c r="E906"/>
      <c r="F906"/>
    </row>
    <row r="907" spans="1:6" x14ac:dyDescent="0.4">
      <c r="A907"/>
      <c r="B907"/>
      <c r="C907"/>
      <c r="D907"/>
      <c r="E907"/>
      <c r="F907"/>
    </row>
    <row r="908" spans="1:6" x14ac:dyDescent="0.4">
      <c r="A908"/>
      <c r="B908"/>
      <c r="C908"/>
      <c r="D908"/>
      <c r="E908"/>
      <c r="F908"/>
    </row>
    <row r="909" spans="1:6" x14ac:dyDescent="0.4">
      <c r="A909"/>
      <c r="B909"/>
      <c r="C909"/>
      <c r="D909"/>
      <c r="E909"/>
      <c r="F909"/>
    </row>
    <row r="910" spans="1:6" x14ac:dyDescent="0.4">
      <c r="A910"/>
      <c r="B910"/>
      <c r="C910"/>
      <c r="D910"/>
      <c r="E910"/>
      <c r="F910"/>
    </row>
    <row r="911" spans="1:6" x14ac:dyDescent="0.4">
      <c r="A911"/>
      <c r="B911"/>
      <c r="C911"/>
      <c r="D911"/>
      <c r="E911"/>
      <c r="F911"/>
    </row>
    <row r="912" spans="1:6" x14ac:dyDescent="0.4">
      <c r="A912"/>
      <c r="B912"/>
      <c r="C912"/>
      <c r="D912"/>
      <c r="E912"/>
      <c r="F912"/>
    </row>
    <row r="913" spans="1:6" x14ac:dyDescent="0.4">
      <c r="A913"/>
      <c r="B913"/>
      <c r="C913"/>
      <c r="D913"/>
      <c r="E913"/>
      <c r="F913"/>
    </row>
    <row r="914" spans="1:6" x14ac:dyDescent="0.4">
      <c r="A914"/>
      <c r="B914"/>
      <c r="C914"/>
      <c r="D914"/>
      <c r="E914"/>
      <c r="F914"/>
    </row>
    <row r="915" spans="1:6" x14ac:dyDescent="0.4">
      <c r="A915"/>
      <c r="B915"/>
      <c r="C915"/>
      <c r="D915"/>
      <c r="E915"/>
      <c r="F915"/>
    </row>
    <row r="916" spans="1:6" x14ac:dyDescent="0.4">
      <c r="A916"/>
      <c r="B916"/>
      <c r="C916"/>
      <c r="D916"/>
      <c r="E916"/>
      <c r="F916"/>
    </row>
    <row r="917" spans="1:6" x14ac:dyDescent="0.4">
      <c r="A917"/>
      <c r="B917"/>
      <c r="C917"/>
      <c r="D917"/>
      <c r="E917"/>
      <c r="F917"/>
    </row>
    <row r="918" spans="1:6" x14ac:dyDescent="0.4">
      <c r="A918"/>
      <c r="B918"/>
      <c r="C918"/>
      <c r="D918"/>
      <c r="E918"/>
      <c r="F918"/>
    </row>
    <row r="919" spans="1:6" x14ac:dyDescent="0.4">
      <c r="A919"/>
      <c r="B919"/>
      <c r="C919"/>
      <c r="D919"/>
      <c r="E919"/>
      <c r="F919"/>
    </row>
    <row r="920" spans="1:6" x14ac:dyDescent="0.4">
      <c r="A920"/>
      <c r="B920"/>
      <c r="C920"/>
      <c r="D920"/>
      <c r="E920"/>
      <c r="F920"/>
    </row>
    <row r="921" spans="1:6" x14ac:dyDescent="0.4">
      <c r="A921"/>
      <c r="B921"/>
      <c r="C921"/>
      <c r="D921"/>
      <c r="E921"/>
      <c r="F921"/>
    </row>
    <row r="922" spans="1:6" x14ac:dyDescent="0.4">
      <c r="A922"/>
      <c r="B922"/>
      <c r="C922"/>
      <c r="D922"/>
      <c r="E922"/>
      <c r="F922"/>
    </row>
    <row r="923" spans="1:6" x14ac:dyDescent="0.4">
      <c r="A923"/>
      <c r="B923"/>
      <c r="C923"/>
      <c r="D923"/>
      <c r="E923"/>
      <c r="F923"/>
    </row>
    <row r="924" spans="1:6" x14ac:dyDescent="0.4">
      <c r="A924"/>
      <c r="B924"/>
      <c r="C924"/>
      <c r="D924"/>
      <c r="E924"/>
      <c r="F924"/>
    </row>
    <row r="925" spans="1:6" x14ac:dyDescent="0.4">
      <c r="A925"/>
      <c r="B925"/>
      <c r="C925"/>
      <c r="D925"/>
      <c r="E925"/>
      <c r="F925"/>
    </row>
    <row r="926" spans="1:6" x14ac:dyDescent="0.4">
      <c r="A926"/>
      <c r="B926"/>
      <c r="C926"/>
      <c r="D926"/>
      <c r="E926"/>
      <c r="F926"/>
    </row>
    <row r="927" spans="1:6" x14ac:dyDescent="0.4">
      <c r="A927"/>
      <c r="B927"/>
      <c r="C927"/>
      <c r="D927"/>
      <c r="E927"/>
      <c r="F927"/>
    </row>
    <row r="928" spans="1:6" x14ac:dyDescent="0.4">
      <c r="A928"/>
      <c r="B928"/>
      <c r="C928"/>
      <c r="D928"/>
      <c r="E928"/>
      <c r="F928"/>
    </row>
    <row r="929" spans="1:6" x14ac:dyDescent="0.4">
      <c r="A929"/>
      <c r="B929"/>
      <c r="C929"/>
      <c r="D929"/>
      <c r="E929"/>
      <c r="F929"/>
    </row>
    <row r="930" spans="1:6" x14ac:dyDescent="0.4">
      <c r="A930"/>
      <c r="B930"/>
      <c r="C930"/>
      <c r="D930"/>
      <c r="E930"/>
      <c r="F930"/>
    </row>
    <row r="931" spans="1:6" x14ac:dyDescent="0.4">
      <c r="A931"/>
      <c r="B931"/>
      <c r="C931"/>
      <c r="D931"/>
      <c r="E931"/>
      <c r="F931"/>
    </row>
    <row r="932" spans="1:6" x14ac:dyDescent="0.4">
      <c r="A932"/>
      <c r="B932"/>
      <c r="C932"/>
      <c r="D932"/>
      <c r="E932"/>
      <c r="F932"/>
    </row>
    <row r="933" spans="1:6" x14ac:dyDescent="0.4">
      <c r="A933"/>
      <c r="B933"/>
      <c r="C933"/>
      <c r="D933"/>
      <c r="E933"/>
      <c r="F933"/>
    </row>
    <row r="934" spans="1:6" x14ac:dyDescent="0.4">
      <c r="A934"/>
      <c r="B934"/>
      <c r="C934"/>
      <c r="D934"/>
      <c r="E934"/>
      <c r="F934"/>
    </row>
    <row r="935" spans="1:6" x14ac:dyDescent="0.4">
      <c r="A935"/>
      <c r="B935"/>
      <c r="C935"/>
      <c r="D935"/>
      <c r="E935"/>
      <c r="F935"/>
    </row>
    <row r="936" spans="1:6" x14ac:dyDescent="0.4">
      <c r="A936"/>
      <c r="B936"/>
      <c r="C936"/>
      <c r="D936"/>
      <c r="E936"/>
      <c r="F936"/>
    </row>
    <row r="937" spans="1:6" x14ac:dyDescent="0.4">
      <c r="A937"/>
      <c r="B937"/>
      <c r="C937"/>
      <c r="D937"/>
      <c r="E937"/>
      <c r="F937"/>
    </row>
    <row r="938" spans="1:6" x14ac:dyDescent="0.4">
      <c r="A938"/>
      <c r="B938"/>
      <c r="C938"/>
      <c r="D938"/>
      <c r="E938"/>
      <c r="F938"/>
    </row>
    <row r="939" spans="1:6" x14ac:dyDescent="0.4">
      <c r="A939"/>
      <c r="B939"/>
      <c r="C939"/>
      <c r="D939"/>
      <c r="E939"/>
      <c r="F939"/>
    </row>
    <row r="940" spans="1:6" x14ac:dyDescent="0.4">
      <c r="A940"/>
      <c r="B940"/>
      <c r="C940"/>
      <c r="D940"/>
      <c r="E940"/>
      <c r="F940"/>
    </row>
    <row r="941" spans="1:6" x14ac:dyDescent="0.4">
      <c r="A941"/>
      <c r="B941"/>
      <c r="C941"/>
      <c r="D941"/>
      <c r="E941"/>
      <c r="F941"/>
    </row>
    <row r="942" spans="1:6" x14ac:dyDescent="0.4">
      <c r="A942"/>
      <c r="B942"/>
      <c r="C942"/>
      <c r="D942"/>
      <c r="E942"/>
      <c r="F942"/>
    </row>
    <row r="943" spans="1:6" x14ac:dyDescent="0.4">
      <c r="A943"/>
      <c r="B943"/>
      <c r="C943"/>
      <c r="D943"/>
      <c r="E943"/>
      <c r="F943"/>
    </row>
    <row r="944" spans="1:6" x14ac:dyDescent="0.4">
      <c r="A944"/>
      <c r="B944"/>
      <c r="C944"/>
      <c r="D944"/>
      <c r="E944"/>
      <c r="F944"/>
    </row>
    <row r="945" spans="1:6" x14ac:dyDescent="0.4">
      <c r="A945"/>
      <c r="B945"/>
      <c r="C945"/>
      <c r="D945"/>
      <c r="E945"/>
      <c r="F945"/>
    </row>
    <row r="946" spans="1:6" x14ac:dyDescent="0.4">
      <c r="A946"/>
      <c r="B946"/>
      <c r="C946"/>
      <c r="D946"/>
      <c r="E946"/>
      <c r="F946"/>
    </row>
    <row r="947" spans="1:6" x14ac:dyDescent="0.4">
      <c r="A947"/>
      <c r="B947"/>
      <c r="C947"/>
      <c r="D947"/>
      <c r="E947"/>
      <c r="F947"/>
    </row>
    <row r="948" spans="1:6" x14ac:dyDescent="0.4">
      <c r="A948"/>
      <c r="B948"/>
      <c r="C948"/>
      <c r="D948"/>
      <c r="E948"/>
      <c r="F948"/>
    </row>
    <row r="949" spans="1:6" x14ac:dyDescent="0.4">
      <c r="A949"/>
      <c r="B949"/>
      <c r="C949"/>
      <c r="D949"/>
      <c r="E949"/>
      <c r="F949"/>
    </row>
    <row r="950" spans="1:6" x14ac:dyDescent="0.4">
      <c r="A950"/>
      <c r="B950"/>
      <c r="C950"/>
      <c r="D950"/>
      <c r="E950"/>
      <c r="F950"/>
    </row>
    <row r="951" spans="1:6" x14ac:dyDescent="0.4">
      <c r="A951"/>
      <c r="B951"/>
      <c r="C951"/>
      <c r="D951"/>
      <c r="E951"/>
      <c r="F951"/>
    </row>
    <row r="952" spans="1:6" x14ac:dyDescent="0.4">
      <c r="A952"/>
      <c r="B952"/>
      <c r="C952"/>
      <c r="D952"/>
      <c r="E952"/>
      <c r="F952"/>
    </row>
    <row r="953" spans="1:6" x14ac:dyDescent="0.4">
      <c r="A953"/>
      <c r="B953"/>
      <c r="C953"/>
      <c r="D953"/>
      <c r="E953"/>
      <c r="F953"/>
    </row>
    <row r="954" spans="1:6" x14ac:dyDescent="0.4">
      <c r="A954"/>
      <c r="B954"/>
      <c r="C954"/>
      <c r="D954"/>
      <c r="E954"/>
      <c r="F954"/>
    </row>
    <row r="955" spans="1:6" x14ac:dyDescent="0.4">
      <c r="A955"/>
      <c r="B955"/>
      <c r="C955"/>
      <c r="D955"/>
      <c r="E955"/>
      <c r="F955"/>
    </row>
    <row r="956" spans="1:6" x14ac:dyDescent="0.4">
      <c r="A956"/>
      <c r="B956"/>
      <c r="C956"/>
      <c r="D956"/>
      <c r="E956"/>
      <c r="F956"/>
    </row>
    <row r="957" spans="1:6" x14ac:dyDescent="0.4">
      <c r="A957"/>
      <c r="B957"/>
      <c r="C957"/>
      <c r="D957"/>
      <c r="E957"/>
      <c r="F957"/>
    </row>
    <row r="958" spans="1:6" x14ac:dyDescent="0.4">
      <c r="A958"/>
      <c r="B958"/>
      <c r="C958"/>
      <c r="D958"/>
      <c r="E958"/>
      <c r="F958"/>
    </row>
    <row r="959" spans="1:6" x14ac:dyDescent="0.4">
      <c r="A959"/>
      <c r="B959"/>
      <c r="C959"/>
      <c r="D959"/>
      <c r="E959"/>
      <c r="F959"/>
    </row>
    <row r="960" spans="1:6" x14ac:dyDescent="0.4">
      <c r="A960"/>
      <c r="B960"/>
      <c r="C960"/>
      <c r="D960"/>
      <c r="E960"/>
      <c r="F960"/>
    </row>
    <row r="961" spans="1:6" x14ac:dyDescent="0.4">
      <c r="A961"/>
      <c r="B961"/>
      <c r="C961"/>
      <c r="D961"/>
      <c r="E961"/>
      <c r="F961"/>
    </row>
    <row r="962" spans="1:6" x14ac:dyDescent="0.4">
      <c r="A962"/>
      <c r="B962"/>
      <c r="C962"/>
      <c r="D962"/>
      <c r="E962"/>
      <c r="F962"/>
    </row>
    <row r="963" spans="1:6" x14ac:dyDescent="0.4">
      <c r="A963"/>
      <c r="B963"/>
      <c r="C963"/>
      <c r="D963"/>
      <c r="E963"/>
      <c r="F963"/>
    </row>
    <row r="964" spans="1:6" x14ac:dyDescent="0.4">
      <c r="A964"/>
      <c r="B964"/>
      <c r="C964"/>
      <c r="D964"/>
      <c r="E964"/>
      <c r="F964"/>
    </row>
    <row r="965" spans="1:6" x14ac:dyDescent="0.4">
      <c r="A965"/>
      <c r="B965"/>
      <c r="C965"/>
      <c r="D965"/>
      <c r="E965"/>
      <c r="F965"/>
    </row>
    <row r="966" spans="1:6" x14ac:dyDescent="0.4">
      <c r="A966"/>
      <c r="B966"/>
      <c r="C966"/>
      <c r="D966"/>
      <c r="E966"/>
      <c r="F966"/>
    </row>
    <row r="967" spans="1:6" x14ac:dyDescent="0.4">
      <c r="A967"/>
      <c r="B967"/>
      <c r="C967"/>
      <c r="D967"/>
      <c r="E967"/>
      <c r="F967"/>
    </row>
    <row r="968" spans="1:6" x14ac:dyDescent="0.4">
      <c r="A968"/>
      <c r="B968"/>
      <c r="C968"/>
      <c r="D968"/>
      <c r="E968"/>
      <c r="F968"/>
    </row>
    <row r="969" spans="1:6" x14ac:dyDescent="0.4">
      <c r="A969"/>
      <c r="B969"/>
      <c r="C969"/>
      <c r="D969"/>
      <c r="E969"/>
      <c r="F969"/>
    </row>
    <row r="970" spans="1:6" x14ac:dyDescent="0.4">
      <c r="A970"/>
      <c r="B970"/>
      <c r="C970"/>
      <c r="D970"/>
      <c r="E970"/>
      <c r="F970"/>
    </row>
    <row r="971" spans="1:6" x14ac:dyDescent="0.4">
      <c r="A971"/>
      <c r="B971"/>
      <c r="C971"/>
      <c r="D971"/>
      <c r="E971"/>
      <c r="F971"/>
    </row>
    <row r="972" spans="1:6" x14ac:dyDescent="0.4">
      <c r="A972"/>
      <c r="B972"/>
      <c r="C972"/>
      <c r="D972"/>
      <c r="E972"/>
      <c r="F972"/>
    </row>
    <row r="973" spans="1:6" x14ac:dyDescent="0.4">
      <c r="A973"/>
      <c r="B973"/>
      <c r="C973"/>
      <c r="D973"/>
      <c r="E973"/>
      <c r="F973"/>
    </row>
    <row r="974" spans="1:6" x14ac:dyDescent="0.4">
      <c r="A974"/>
      <c r="B974"/>
      <c r="C974"/>
      <c r="D974"/>
      <c r="E974"/>
      <c r="F974"/>
    </row>
    <row r="975" spans="1:6" x14ac:dyDescent="0.4">
      <c r="A975"/>
      <c r="B975"/>
      <c r="C975"/>
      <c r="D975"/>
      <c r="E975"/>
      <c r="F975"/>
    </row>
    <row r="976" spans="1:6" x14ac:dyDescent="0.4">
      <c r="A976"/>
      <c r="B976"/>
      <c r="C976"/>
      <c r="D976"/>
      <c r="E976"/>
      <c r="F976"/>
    </row>
    <row r="977" spans="1:6" x14ac:dyDescent="0.4">
      <c r="A977"/>
      <c r="B977"/>
      <c r="C977"/>
      <c r="D977"/>
      <c r="E977"/>
      <c r="F977"/>
    </row>
    <row r="978" spans="1:6" x14ac:dyDescent="0.4">
      <c r="A978"/>
      <c r="B978"/>
      <c r="C978"/>
      <c r="D978"/>
      <c r="E978"/>
      <c r="F978"/>
    </row>
    <row r="979" spans="1:6" x14ac:dyDescent="0.4">
      <c r="A979"/>
      <c r="B979"/>
      <c r="C979"/>
      <c r="D979"/>
      <c r="E979"/>
      <c r="F979"/>
    </row>
    <row r="980" spans="1:6" x14ac:dyDescent="0.4">
      <c r="A980"/>
      <c r="B980"/>
      <c r="C980"/>
      <c r="D980"/>
      <c r="E980"/>
      <c r="F980"/>
    </row>
    <row r="981" spans="1:6" x14ac:dyDescent="0.4">
      <c r="A981"/>
      <c r="B981"/>
      <c r="C981"/>
      <c r="D981"/>
      <c r="E981"/>
      <c r="F981"/>
    </row>
    <row r="982" spans="1:6" x14ac:dyDescent="0.4">
      <c r="A982"/>
      <c r="B982"/>
      <c r="C982"/>
      <c r="D982"/>
      <c r="E982"/>
      <c r="F982"/>
    </row>
    <row r="983" spans="1:6" x14ac:dyDescent="0.4">
      <c r="A983"/>
      <c r="B983"/>
      <c r="C983"/>
      <c r="D983"/>
      <c r="E983"/>
      <c r="F983"/>
    </row>
    <row r="984" spans="1:6" x14ac:dyDescent="0.4">
      <c r="A984"/>
      <c r="B984"/>
      <c r="C984"/>
      <c r="D984"/>
      <c r="E984"/>
      <c r="F984"/>
    </row>
    <row r="985" spans="1:6" x14ac:dyDescent="0.4">
      <c r="A985"/>
      <c r="B985"/>
      <c r="C985"/>
      <c r="D985"/>
      <c r="E985"/>
      <c r="F985"/>
    </row>
    <row r="986" spans="1:6" x14ac:dyDescent="0.4">
      <c r="A986"/>
      <c r="B986"/>
      <c r="C986"/>
      <c r="D986"/>
      <c r="E986"/>
      <c r="F986"/>
    </row>
    <row r="987" spans="1:6" x14ac:dyDescent="0.4">
      <c r="A987"/>
      <c r="B987"/>
      <c r="C987"/>
      <c r="D987"/>
      <c r="E987"/>
      <c r="F987"/>
    </row>
    <row r="988" spans="1:6" x14ac:dyDescent="0.4">
      <c r="A988"/>
      <c r="B988"/>
      <c r="C988"/>
      <c r="D988"/>
      <c r="E988"/>
      <c r="F988"/>
    </row>
    <row r="989" spans="1:6" x14ac:dyDescent="0.4">
      <c r="A989"/>
      <c r="B989"/>
      <c r="C989"/>
      <c r="D989"/>
      <c r="E989"/>
      <c r="F989"/>
    </row>
    <row r="990" spans="1:6" x14ac:dyDescent="0.4">
      <c r="A990"/>
      <c r="B990"/>
      <c r="C990"/>
      <c r="D990"/>
      <c r="E990"/>
      <c r="F990"/>
    </row>
    <row r="991" spans="1:6" x14ac:dyDescent="0.4">
      <c r="A991"/>
      <c r="B991"/>
      <c r="C991"/>
      <c r="D991"/>
      <c r="E991"/>
      <c r="F991"/>
    </row>
    <row r="992" spans="1:6" x14ac:dyDescent="0.4">
      <c r="A992"/>
      <c r="B992"/>
      <c r="C992"/>
      <c r="D992"/>
      <c r="E992"/>
      <c r="F992"/>
    </row>
    <row r="993" spans="1:6" x14ac:dyDescent="0.4">
      <c r="A993"/>
      <c r="B993"/>
      <c r="C993"/>
      <c r="D993"/>
      <c r="E993"/>
      <c r="F993"/>
    </row>
    <row r="994" spans="1:6" x14ac:dyDescent="0.4">
      <c r="A994"/>
      <c r="B994"/>
      <c r="C994"/>
      <c r="D994"/>
      <c r="E994"/>
      <c r="F994"/>
    </row>
    <row r="995" spans="1:6" x14ac:dyDescent="0.4">
      <c r="A995"/>
      <c r="B995"/>
      <c r="C995"/>
      <c r="D995"/>
      <c r="E995"/>
      <c r="F995"/>
    </row>
    <row r="996" spans="1:6" x14ac:dyDescent="0.4">
      <c r="A996"/>
      <c r="B996"/>
      <c r="C996"/>
      <c r="D996"/>
      <c r="E996"/>
      <c r="F996"/>
    </row>
    <row r="997" spans="1:6" x14ac:dyDescent="0.4">
      <c r="A997"/>
      <c r="B997"/>
      <c r="C997"/>
      <c r="D997"/>
      <c r="E997"/>
      <c r="F997"/>
    </row>
    <row r="998" spans="1:6" x14ac:dyDescent="0.4">
      <c r="A998"/>
      <c r="B998"/>
      <c r="C998"/>
      <c r="D998"/>
      <c r="E998"/>
      <c r="F998"/>
    </row>
    <row r="999" spans="1:6" x14ac:dyDescent="0.4">
      <c r="A999"/>
      <c r="B999"/>
      <c r="C999"/>
      <c r="D999"/>
      <c r="E999"/>
      <c r="F999"/>
    </row>
    <row r="1000" spans="1:6" x14ac:dyDescent="0.4">
      <c r="A1000"/>
      <c r="B1000"/>
      <c r="C1000"/>
      <c r="D1000"/>
      <c r="E1000"/>
      <c r="F1000"/>
    </row>
    <row r="1001" spans="1:6" x14ac:dyDescent="0.4">
      <c r="A1001"/>
      <c r="B1001"/>
      <c r="C1001"/>
      <c r="D1001"/>
      <c r="E1001"/>
      <c r="F1001"/>
    </row>
    <row r="1002" spans="1:6" x14ac:dyDescent="0.4">
      <c r="A1002"/>
      <c r="B1002"/>
      <c r="C1002"/>
      <c r="D1002"/>
      <c r="E1002"/>
      <c r="F1002"/>
    </row>
    <row r="1003" spans="1:6" x14ac:dyDescent="0.4">
      <c r="A1003"/>
      <c r="B1003"/>
      <c r="C1003"/>
      <c r="D1003"/>
      <c r="E1003"/>
      <c r="F1003"/>
    </row>
    <row r="1004" spans="1:6" x14ac:dyDescent="0.4">
      <c r="A1004"/>
      <c r="B1004"/>
      <c r="C1004"/>
      <c r="D1004"/>
      <c r="E1004"/>
      <c r="F1004"/>
    </row>
    <row r="1005" spans="1:6" x14ac:dyDescent="0.4">
      <c r="A1005"/>
      <c r="B1005"/>
      <c r="C1005"/>
      <c r="D1005"/>
      <c r="E1005"/>
      <c r="F1005"/>
    </row>
    <row r="1006" spans="1:6" x14ac:dyDescent="0.4">
      <c r="A1006"/>
      <c r="B1006"/>
      <c r="C1006"/>
      <c r="D1006"/>
      <c r="E1006"/>
      <c r="F1006"/>
    </row>
    <row r="1007" spans="1:6" x14ac:dyDescent="0.4">
      <c r="A1007"/>
      <c r="B1007"/>
      <c r="C1007"/>
      <c r="D1007"/>
      <c r="E1007"/>
      <c r="F1007"/>
    </row>
    <row r="1008" spans="1:6" x14ac:dyDescent="0.4">
      <c r="A1008"/>
      <c r="B1008"/>
      <c r="C1008"/>
      <c r="D1008"/>
      <c r="E1008"/>
      <c r="F1008"/>
    </row>
    <row r="1009" spans="1:6" x14ac:dyDescent="0.4">
      <c r="A1009"/>
      <c r="B1009"/>
      <c r="C1009"/>
      <c r="D1009"/>
      <c r="E1009"/>
      <c r="F1009"/>
    </row>
    <row r="1010" spans="1:6" x14ac:dyDescent="0.4">
      <c r="A1010"/>
      <c r="B1010"/>
      <c r="C1010"/>
      <c r="D1010"/>
      <c r="E1010"/>
      <c r="F1010"/>
    </row>
    <row r="1011" spans="1:6" x14ac:dyDescent="0.4">
      <c r="A1011"/>
      <c r="B1011"/>
      <c r="C1011"/>
      <c r="D1011"/>
      <c r="E1011"/>
      <c r="F1011"/>
    </row>
    <row r="1012" spans="1:6" x14ac:dyDescent="0.4">
      <c r="A1012"/>
      <c r="B1012"/>
      <c r="C1012"/>
      <c r="D1012"/>
      <c r="E1012"/>
      <c r="F1012"/>
    </row>
    <row r="1013" spans="1:6" x14ac:dyDescent="0.4">
      <c r="A1013"/>
      <c r="B1013"/>
      <c r="C1013"/>
      <c r="D1013"/>
      <c r="E1013"/>
      <c r="F1013"/>
    </row>
    <row r="1014" spans="1:6" x14ac:dyDescent="0.4">
      <c r="A1014"/>
      <c r="B1014"/>
      <c r="C1014"/>
      <c r="D1014"/>
      <c r="E1014"/>
      <c r="F1014"/>
    </row>
    <row r="1015" spans="1:6" x14ac:dyDescent="0.4">
      <c r="A1015"/>
      <c r="B1015"/>
      <c r="C1015"/>
      <c r="D1015"/>
      <c r="E1015"/>
      <c r="F1015"/>
    </row>
  </sheetData>
  <mergeCells count="3">
    <mergeCell ref="B4:D4"/>
    <mergeCell ref="B12:D12"/>
    <mergeCell ref="B13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456B-2432-40A2-8C13-48A39FA43616}">
  <sheetPr>
    <tabColor rgb="FF888888"/>
  </sheetPr>
  <dimension ref="A1:D502"/>
  <sheetViews>
    <sheetView showGridLines="0" workbookViewId="0">
      <pane ySplit="2" topLeftCell="A3" activePane="bottomLeft" state="frozen"/>
      <selection pane="bottomLeft" activeCell="A2" sqref="A2:D502"/>
    </sheetView>
  </sheetViews>
  <sheetFormatPr baseColWidth="10" defaultRowHeight="14.6" x14ac:dyDescent="0.4"/>
  <cols>
    <col min="1" max="1" width="46.23046875" bestFit="1" customWidth="1"/>
    <col min="2" max="2" width="65.69140625" bestFit="1" customWidth="1"/>
    <col min="3" max="3" width="8.765625" bestFit="1" customWidth="1"/>
    <col min="4" max="4" width="18.15234375" bestFit="1" customWidth="1"/>
  </cols>
  <sheetData>
    <row r="1" spans="1:4" s="4" customFormat="1" ht="32.049999999999997" customHeight="1" x14ac:dyDescent="0.5">
      <c r="A1" s="106" t="s">
        <v>1290</v>
      </c>
      <c r="B1" s="86"/>
      <c r="C1" s="86"/>
      <c r="D1" s="86"/>
    </row>
    <row r="2" spans="1:4" x14ac:dyDescent="0.4">
      <c r="A2" s="107" t="s">
        <v>69</v>
      </c>
      <c r="B2" s="107" t="s">
        <v>70</v>
      </c>
      <c r="C2" s="107" t="s">
        <v>71</v>
      </c>
      <c r="D2" s="107" t="s">
        <v>68</v>
      </c>
    </row>
    <row r="3" spans="1:4" x14ac:dyDescent="0.4">
      <c r="A3" s="108" t="s">
        <v>67</v>
      </c>
      <c r="B3" s="108" t="s">
        <v>136</v>
      </c>
      <c r="C3" s="109" t="s">
        <v>382</v>
      </c>
      <c r="D3" s="110" t="s">
        <v>463</v>
      </c>
    </row>
    <row r="4" spans="1:4" x14ac:dyDescent="0.4">
      <c r="A4" s="108" t="s">
        <v>141</v>
      </c>
      <c r="B4" s="108" t="s">
        <v>136</v>
      </c>
      <c r="C4" s="109" t="s">
        <v>1162</v>
      </c>
      <c r="D4" s="110" t="s">
        <v>463</v>
      </c>
    </row>
    <row r="5" spans="1:4" x14ac:dyDescent="0.4">
      <c r="A5" s="108" t="s">
        <v>129</v>
      </c>
      <c r="B5" s="108" t="s">
        <v>126</v>
      </c>
      <c r="C5" s="109" t="s">
        <v>430</v>
      </c>
      <c r="D5" s="110" t="s">
        <v>463</v>
      </c>
    </row>
    <row r="6" spans="1:4" x14ac:dyDescent="0.4">
      <c r="A6" s="108" t="s">
        <v>167</v>
      </c>
      <c r="B6" s="108" t="s">
        <v>126</v>
      </c>
      <c r="C6" s="109" t="s">
        <v>113</v>
      </c>
      <c r="D6" s="110" t="s">
        <v>463</v>
      </c>
    </row>
    <row r="7" spans="1:4" x14ac:dyDescent="0.4">
      <c r="A7" s="108" t="s">
        <v>204</v>
      </c>
      <c r="B7" s="108" t="s">
        <v>99</v>
      </c>
      <c r="C7" s="109" t="s">
        <v>240</v>
      </c>
      <c r="D7" s="110" t="s">
        <v>463</v>
      </c>
    </row>
    <row r="8" spans="1:4" x14ac:dyDescent="0.4">
      <c r="A8" s="108" t="s">
        <v>171</v>
      </c>
      <c r="B8" s="108" t="s">
        <v>122</v>
      </c>
      <c r="C8" s="109" t="s">
        <v>84</v>
      </c>
      <c r="D8" s="110" t="s">
        <v>463</v>
      </c>
    </row>
    <row r="9" spans="1:4" x14ac:dyDescent="0.4">
      <c r="A9" s="108" t="s">
        <v>103</v>
      </c>
      <c r="B9" s="108" t="s">
        <v>142</v>
      </c>
      <c r="C9" s="109" t="s">
        <v>84</v>
      </c>
      <c r="D9" s="110" t="s">
        <v>463</v>
      </c>
    </row>
    <row r="10" spans="1:4" x14ac:dyDescent="0.4">
      <c r="A10" s="108" t="s">
        <v>119</v>
      </c>
      <c r="B10" s="108" t="s">
        <v>101</v>
      </c>
      <c r="C10" s="109" t="s">
        <v>306</v>
      </c>
      <c r="D10" s="110" t="s">
        <v>463</v>
      </c>
    </row>
    <row r="11" spans="1:4" x14ac:dyDescent="0.4">
      <c r="A11" s="108" t="s">
        <v>171</v>
      </c>
      <c r="B11" s="108" t="s">
        <v>142</v>
      </c>
      <c r="C11" s="109" t="s">
        <v>1163</v>
      </c>
      <c r="D11" s="110" t="s">
        <v>463</v>
      </c>
    </row>
    <row r="12" spans="1:4" x14ac:dyDescent="0.4">
      <c r="A12" s="108" t="s">
        <v>108</v>
      </c>
      <c r="B12" s="108" t="s">
        <v>91</v>
      </c>
      <c r="C12" s="109" t="s">
        <v>84</v>
      </c>
      <c r="D12" s="110" t="s">
        <v>463</v>
      </c>
    </row>
    <row r="13" spans="1:4" x14ac:dyDescent="0.4">
      <c r="A13" s="108" t="s">
        <v>127</v>
      </c>
      <c r="B13" s="108" t="s">
        <v>96</v>
      </c>
      <c r="C13" s="109" t="s">
        <v>84</v>
      </c>
      <c r="D13" s="110" t="s">
        <v>463</v>
      </c>
    </row>
    <row r="14" spans="1:4" x14ac:dyDescent="0.4">
      <c r="A14" s="108" t="s">
        <v>105</v>
      </c>
      <c r="B14" s="108" t="s">
        <v>96</v>
      </c>
      <c r="C14" s="109" t="s">
        <v>84</v>
      </c>
      <c r="D14" s="110" t="s">
        <v>463</v>
      </c>
    </row>
    <row r="15" spans="1:4" x14ac:dyDescent="0.4">
      <c r="A15" s="108" t="s">
        <v>100</v>
      </c>
      <c r="B15" s="108" t="s">
        <v>101</v>
      </c>
      <c r="C15" s="109" t="s">
        <v>1164</v>
      </c>
      <c r="D15" s="110" t="s">
        <v>463</v>
      </c>
    </row>
    <row r="16" spans="1:4" x14ac:dyDescent="0.4">
      <c r="A16" s="108" t="s">
        <v>66</v>
      </c>
      <c r="B16" s="108" t="s">
        <v>125</v>
      </c>
      <c r="C16" s="109" t="s">
        <v>84</v>
      </c>
      <c r="D16" s="110" t="s">
        <v>463</v>
      </c>
    </row>
    <row r="17" spans="1:4" x14ac:dyDescent="0.4">
      <c r="A17" s="108" t="s">
        <v>117</v>
      </c>
      <c r="B17" s="108" t="s">
        <v>83</v>
      </c>
      <c r="C17" s="109" t="s">
        <v>1165</v>
      </c>
      <c r="D17" s="110" t="s">
        <v>463</v>
      </c>
    </row>
    <row r="18" spans="1:4" x14ac:dyDescent="0.4">
      <c r="A18" s="108" t="s">
        <v>117</v>
      </c>
      <c r="B18" s="108" t="s">
        <v>85</v>
      </c>
      <c r="C18" s="109" t="s">
        <v>272</v>
      </c>
      <c r="D18" s="110" t="s">
        <v>463</v>
      </c>
    </row>
    <row r="19" spans="1:4" x14ac:dyDescent="0.4">
      <c r="A19" s="108" t="s">
        <v>149</v>
      </c>
      <c r="B19" s="108" t="s">
        <v>101</v>
      </c>
      <c r="C19" s="109" t="s">
        <v>215</v>
      </c>
      <c r="D19" s="110" t="s">
        <v>463</v>
      </c>
    </row>
    <row r="20" spans="1:4" x14ac:dyDescent="0.4">
      <c r="A20" s="108" t="s">
        <v>317</v>
      </c>
      <c r="B20" s="108" t="s">
        <v>136</v>
      </c>
      <c r="C20" s="109" t="s">
        <v>380</v>
      </c>
      <c r="D20" s="110" t="s">
        <v>463</v>
      </c>
    </row>
    <row r="21" spans="1:4" x14ac:dyDescent="0.4">
      <c r="A21" s="108" t="s">
        <v>66</v>
      </c>
      <c r="B21" s="108" t="s">
        <v>142</v>
      </c>
      <c r="C21" s="109" t="s">
        <v>84</v>
      </c>
      <c r="D21" s="110" t="s">
        <v>463</v>
      </c>
    </row>
    <row r="22" spans="1:4" x14ac:dyDescent="0.4">
      <c r="A22" s="108" t="s">
        <v>168</v>
      </c>
      <c r="B22" s="108" t="s">
        <v>115</v>
      </c>
      <c r="C22" s="109" t="s">
        <v>84</v>
      </c>
      <c r="D22" s="110" t="s">
        <v>463</v>
      </c>
    </row>
    <row r="23" spans="1:4" x14ac:dyDescent="0.4">
      <c r="A23" s="108" t="s">
        <v>141</v>
      </c>
      <c r="B23" s="108" t="s">
        <v>85</v>
      </c>
      <c r="C23" s="109" t="s">
        <v>1166</v>
      </c>
      <c r="D23" s="110" t="s">
        <v>463</v>
      </c>
    </row>
    <row r="24" spans="1:4" x14ac:dyDescent="0.4">
      <c r="A24" s="108" t="s">
        <v>178</v>
      </c>
      <c r="B24" s="108" t="s">
        <v>136</v>
      </c>
      <c r="C24" s="109" t="s">
        <v>376</v>
      </c>
      <c r="D24" s="110" t="s">
        <v>463</v>
      </c>
    </row>
    <row r="25" spans="1:4" x14ac:dyDescent="0.4">
      <c r="A25" s="108" t="s">
        <v>202</v>
      </c>
      <c r="B25" s="108" t="s">
        <v>142</v>
      </c>
      <c r="C25" s="109" t="s">
        <v>84</v>
      </c>
      <c r="D25" s="110" t="s">
        <v>463</v>
      </c>
    </row>
    <row r="26" spans="1:4" x14ac:dyDescent="0.4">
      <c r="A26" s="108" t="s">
        <v>100</v>
      </c>
      <c r="B26" s="108" t="s">
        <v>83</v>
      </c>
      <c r="C26" s="109" t="s">
        <v>84</v>
      </c>
      <c r="D26" s="110" t="s">
        <v>463</v>
      </c>
    </row>
    <row r="27" spans="1:4" x14ac:dyDescent="0.4">
      <c r="A27" s="108" t="s">
        <v>110</v>
      </c>
      <c r="B27" s="108" t="s">
        <v>76</v>
      </c>
      <c r="C27" s="109" t="s">
        <v>84</v>
      </c>
      <c r="D27" s="110" t="s">
        <v>463</v>
      </c>
    </row>
    <row r="28" spans="1:4" x14ac:dyDescent="0.4">
      <c r="A28" s="108" t="s">
        <v>66</v>
      </c>
      <c r="B28" s="108" t="s">
        <v>91</v>
      </c>
      <c r="C28" s="109" t="s">
        <v>84</v>
      </c>
      <c r="D28" s="110" t="s">
        <v>463</v>
      </c>
    </row>
    <row r="29" spans="1:4" x14ac:dyDescent="0.4">
      <c r="A29" s="108" t="s">
        <v>141</v>
      </c>
      <c r="B29" s="108" t="s">
        <v>98</v>
      </c>
      <c r="C29" s="109" t="s">
        <v>1167</v>
      </c>
      <c r="D29" s="110" t="s">
        <v>463</v>
      </c>
    </row>
    <row r="30" spans="1:4" x14ac:dyDescent="0.4">
      <c r="A30" s="108" t="s">
        <v>163</v>
      </c>
      <c r="B30" s="108" t="s">
        <v>101</v>
      </c>
      <c r="C30" s="109" t="s">
        <v>182</v>
      </c>
      <c r="D30" s="110" t="s">
        <v>463</v>
      </c>
    </row>
    <row r="31" spans="1:4" x14ac:dyDescent="0.4">
      <c r="A31" s="108" t="s">
        <v>171</v>
      </c>
      <c r="B31" s="108" t="s">
        <v>101</v>
      </c>
      <c r="C31" s="109" t="s">
        <v>438</v>
      </c>
      <c r="D31" s="110" t="s">
        <v>463</v>
      </c>
    </row>
    <row r="32" spans="1:4" x14ac:dyDescent="0.4">
      <c r="A32" s="108" t="s">
        <v>152</v>
      </c>
      <c r="B32" s="108" t="s">
        <v>96</v>
      </c>
      <c r="C32" s="109" t="s">
        <v>84</v>
      </c>
      <c r="D32" s="110" t="s">
        <v>463</v>
      </c>
    </row>
    <row r="33" spans="1:4" x14ac:dyDescent="0.4">
      <c r="A33" s="108" t="s">
        <v>103</v>
      </c>
      <c r="B33" s="108" t="s">
        <v>111</v>
      </c>
      <c r="C33" s="109" t="s">
        <v>312</v>
      </c>
      <c r="D33" s="110" t="s">
        <v>463</v>
      </c>
    </row>
    <row r="34" spans="1:4" x14ac:dyDescent="0.4">
      <c r="A34" s="108" t="s">
        <v>199</v>
      </c>
      <c r="B34" s="108" t="s">
        <v>85</v>
      </c>
      <c r="C34" s="109" t="s">
        <v>1168</v>
      </c>
      <c r="D34" s="110" t="s">
        <v>463</v>
      </c>
    </row>
    <row r="35" spans="1:4" x14ac:dyDescent="0.4">
      <c r="A35" s="108" t="s">
        <v>81</v>
      </c>
      <c r="B35" s="108" t="s">
        <v>83</v>
      </c>
      <c r="C35" s="109" t="s">
        <v>84</v>
      </c>
      <c r="D35" s="110" t="s">
        <v>463</v>
      </c>
    </row>
    <row r="36" spans="1:4" x14ac:dyDescent="0.4">
      <c r="A36" s="108" t="s">
        <v>141</v>
      </c>
      <c r="B36" s="108" t="s">
        <v>125</v>
      </c>
      <c r="C36" s="109" t="s">
        <v>1169</v>
      </c>
      <c r="D36" s="110" t="s">
        <v>463</v>
      </c>
    </row>
    <row r="37" spans="1:4" x14ac:dyDescent="0.4">
      <c r="A37" s="108" t="s">
        <v>149</v>
      </c>
      <c r="B37" s="108" t="s">
        <v>231</v>
      </c>
      <c r="C37" s="109" t="s">
        <v>1170</v>
      </c>
      <c r="D37" s="110" t="s">
        <v>463</v>
      </c>
    </row>
    <row r="38" spans="1:4" x14ac:dyDescent="0.4">
      <c r="A38" s="108" t="s">
        <v>1171</v>
      </c>
      <c r="B38" s="108" t="s">
        <v>101</v>
      </c>
      <c r="C38" s="109" t="s">
        <v>1172</v>
      </c>
      <c r="D38" s="110" t="s">
        <v>463</v>
      </c>
    </row>
    <row r="39" spans="1:4" x14ac:dyDescent="0.4">
      <c r="A39" s="108" t="s">
        <v>110</v>
      </c>
      <c r="B39" s="108" t="s">
        <v>98</v>
      </c>
      <c r="C39" s="109" t="s">
        <v>1173</v>
      </c>
      <c r="D39" s="110" t="s">
        <v>463</v>
      </c>
    </row>
    <row r="40" spans="1:4" x14ac:dyDescent="0.4">
      <c r="A40" s="108" t="s">
        <v>164</v>
      </c>
      <c r="B40" s="108" t="s">
        <v>134</v>
      </c>
      <c r="C40" s="109" t="s">
        <v>1174</v>
      </c>
      <c r="D40" s="110" t="s">
        <v>463</v>
      </c>
    </row>
    <row r="41" spans="1:4" x14ac:dyDescent="0.4">
      <c r="A41" s="108" t="s">
        <v>168</v>
      </c>
      <c r="B41" s="108" t="s">
        <v>111</v>
      </c>
      <c r="C41" s="109" t="s">
        <v>427</v>
      </c>
      <c r="D41" s="110" t="s">
        <v>463</v>
      </c>
    </row>
    <row r="42" spans="1:4" x14ac:dyDescent="0.4">
      <c r="A42" s="108" t="s">
        <v>114</v>
      </c>
      <c r="B42" s="108" t="s">
        <v>83</v>
      </c>
      <c r="C42" s="109" t="s">
        <v>1175</v>
      </c>
      <c r="D42" s="110" t="s">
        <v>463</v>
      </c>
    </row>
    <row r="43" spans="1:4" x14ac:dyDescent="0.4">
      <c r="A43" s="108" t="s">
        <v>1176</v>
      </c>
      <c r="B43" s="108" t="s">
        <v>134</v>
      </c>
      <c r="C43" s="109" t="s">
        <v>1177</v>
      </c>
      <c r="D43" s="110" t="s">
        <v>463</v>
      </c>
    </row>
    <row r="44" spans="1:4" x14ac:dyDescent="0.4">
      <c r="A44" s="108" t="s">
        <v>92</v>
      </c>
      <c r="B44" s="108" t="s">
        <v>96</v>
      </c>
      <c r="C44" s="109" t="s">
        <v>1178</v>
      </c>
      <c r="D44" s="110" t="s">
        <v>463</v>
      </c>
    </row>
    <row r="45" spans="1:4" x14ac:dyDescent="0.4">
      <c r="A45" s="108" t="s">
        <v>149</v>
      </c>
      <c r="B45" s="108" t="s">
        <v>89</v>
      </c>
      <c r="C45" s="109" t="s">
        <v>449</v>
      </c>
      <c r="D45" s="110" t="s">
        <v>463</v>
      </c>
    </row>
    <row r="46" spans="1:4" x14ac:dyDescent="0.4">
      <c r="A46" s="108" t="s">
        <v>163</v>
      </c>
      <c r="B46" s="108" t="s">
        <v>125</v>
      </c>
      <c r="C46" s="109" t="s">
        <v>252</v>
      </c>
      <c r="D46" s="110" t="s">
        <v>463</v>
      </c>
    </row>
    <row r="47" spans="1:4" x14ac:dyDescent="0.4">
      <c r="A47" s="108" t="s">
        <v>163</v>
      </c>
      <c r="B47" s="108" t="s">
        <v>76</v>
      </c>
      <c r="C47" s="109" t="s">
        <v>84</v>
      </c>
      <c r="D47" s="110" t="s">
        <v>463</v>
      </c>
    </row>
    <row r="48" spans="1:4" x14ac:dyDescent="0.4">
      <c r="A48" s="108" t="s">
        <v>149</v>
      </c>
      <c r="B48" s="108" t="s">
        <v>96</v>
      </c>
      <c r="C48" s="109" t="s">
        <v>84</v>
      </c>
      <c r="D48" s="110" t="s">
        <v>463</v>
      </c>
    </row>
    <row r="49" spans="1:4" x14ac:dyDescent="0.4">
      <c r="A49" s="108" t="s">
        <v>127</v>
      </c>
      <c r="B49" s="108" t="s">
        <v>91</v>
      </c>
      <c r="C49" s="109" t="s">
        <v>84</v>
      </c>
      <c r="D49" s="110" t="s">
        <v>463</v>
      </c>
    </row>
    <row r="50" spans="1:4" x14ac:dyDescent="0.4">
      <c r="A50" s="108" t="s">
        <v>168</v>
      </c>
      <c r="B50" s="108" t="s">
        <v>76</v>
      </c>
      <c r="C50" s="109" t="s">
        <v>84</v>
      </c>
      <c r="D50" s="110" t="s">
        <v>463</v>
      </c>
    </row>
    <row r="51" spans="1:4" x14ac:dyDescent="0.4">
      <c r="A51" s="108" t="s">
        <v>178</v>
      </c>
      <c r="B51" s="108" t="s">
        <v>142</v>
      </c>
      <c r="C51" s="109" t="s">
        <v>84</v>
      </c>
      <c r="D51" s="110" t="s">
        <v>463</v>
      </c>
    </row>
    <row r="52" spans="1:4" x14ac:dyDescent="0.4">
      <c r="A52" s="108" t="s">
        <v>139</v>
      </c>
      <c r="B52" s="108" t="s">
        <v>1179</v>
      </c>
      <c r="C52" s="109" t="s">
        <v>1180</v>
      </c>
      <c r="D52" s="110" t="s">
        <v>463</v>
      </c>
    </row>
    <row r="53" spans="1:4" x14ac:dyDescent="0.4">
      <c r="A53" s="108" t="s">
        <v>119</v>
      </c>
      <c r="B53" s="108" t="s">
        <v>107</v>
      </c>
      <c r="C53" s="109" t="s">
        <v>1181</v>
      </c>
      <c r="D53" s="110" t="s">
        <v>463</v>
      </c>
    </row>
    <row r="54" spans="1:4" x14ac:dyDescent="0.4">
      <c r="A54" s="108" t="s">
        <v>149</v>
      </c>
      <c r="B54" s="108" t="s">
        <v>123</v>
      </c>
      <c r="C54" s="109" t="s">
        <v>375</v>
      </c>
      <c r="D54" s="110" t="s">
        <v>463</v>
      </c>
    </row>
    <row r="55" spans="1:4" x14ac:dyDescent="0.4">
      <c r="A55" s="108" t="s">
        <v>164</v>
      </c>
      <c r="B55" s="108" t="s">
        <v>76</v>
      </c>
      <c r="C55" s="109" t="s">
        <v>160</v>
      </c>
      <c r="D55" s="110" t="s">
        <v>463</v>
      </c>
    </row>
    <row r="56" spans="1:4" x14ac:dyDescent="0.4">
      <c r="A56" s="108" t="s">
        <v>132</v>
      </c>
      <c r="B56" s="108" t="s">
        <v>91</v>
      </c>
      <c r="C56" s="109" t="s">
        <v>84</v>
      </c>
      <c r="D56" s="110" t="s">
        <v>463</v>
      </c>
    </row>
    <row r="57" spans="1:4" x14ac:dyDescent="0.4">
      <c r="A57" s="108" t="s">
        <v>1182</v>
      </c>
      <c r="B57" s="108" t="s">
        <v>98</v>
      </c>
      <c r="C57" s="109" t="s">
        <v>268</v>
      </c>
      <c r="D57" s="110" t="s">
        <v>463</v>
      </c>
    </row>
    <row r="58" spans="1:4" x14ac:dyDescent="0.4">
      <c r="A58" s="108" t="s">
        <v>129</v>
      </c>
      <c r="B58" s="108" t="s">
        <v>98</v>
      </c>
      <c r="C58" s="109" t="s">
        <v>430</v>
      </c>
      <c r="D58" s="110" t="s">
        <v>463</v>
      </c>
    </row>
    <row r="59" spans="1:4" x14ac:dyDescent="0.4">
      <c r="A59" s="108" t="s">
        <v>178</v>
      </c>
      <c r="B59" s="108" t="s">
        <v>150</v>
      </c>
      <c r="C59" s="109" t="s">
        <v>170</v>
      </c>
      <c r="D59" s="110" t="s">
        <v>463</v>
      </c>
    </row>
    <row r="60" spans="1:4" x14ac:dyDescent="0.4">
      <c r="A60" s="108" t="s">
        <v>65</v>
      </c>
      <c r="B60" s="108" t="s">
        <v>120</v>
      </c>
      <c r="C60" s="109" t="s">
        <v>379</v>
      </c>
      <c r="D60" s="110" t="s">
        <v>463</v>
      </c>
    </row>
    <row r="61" spans="1:4" x14ac:dyDescent="0.4">
      <c r="A61" s="108" t="s">
        <v>67</v>
      </c>
      <c r="B61" s="108" t="s">
        <v>76</v>
      </c>
      <c r="C61" s="109" t="s">
        <v>84</v>
      </c>
      <c r="D61" s="110" t="s">
        <v>463</v>
      </c>
    </row>
    <row r="62" spans="1:4" x14ac:dyDescent="0.4">
      <c r="A62" s="108" t="s">
        <v>81</v>
      </c>
      <c r="B62" s="108" t="s">
        <v>125</v>
      </c>
      <c r="C62" s="109" t="s">
        <v>1183</v>
      </c>
      <c r="D62" s="110" t="s">
        <v>463</v>
      </c>
    </row>
    <row r="63" spans="1:4" x14ac:dyDescent="0.4">
      <c r="A63" s="108" t="s">
        <v>119</v>
      </c>
      <c r="B63" s="108" t="s">
        <v>123</v>
      </c>
      <c r="C63" s="109" t="s">
        <v>1184</v>
      </c>
      <c r="D63" s="110" t="s">
        <v>463</v>
      </c>
    </row>
    <row r="64" spans="1:4" x14ac:dyDescent="0.4">
      <c r="A64" s="108" t="s">
        <v>181</v>
      </c>
      <c r="B64" s="108" t="s">
        <v>76</v>
      </c>
      <c r="C64" s="109" t="s">
        <v>1185</v>
      </c>
      <c r="D64" s="110" t="s">
        <v>463</v>
      </c>
    </row>
    <row r="65" spans="1:4" x14ac:dyDescent="0.4">
      <c r="A65" s="108" t="s">
        <v>78</v>
      </c>
      <c r="B65" s="108" t="s">
        <v>136</v>
      </c>
      <c r="C65" s="109" t="s">
        <v>274</v>
      </c>
      <c r="D65" s="110" t="s">
        <v>463</v>
      </c>
    </row>
    <row r="66" spans="1:4" x14ac:dyDescent="0.4">
      <c r="A66" s="108" t="s">
        <v>119</v>
      </c>
      <c r="B66" s="108" t="s">
        <v>93</v>
      </c>
      <c r="C66" s="109" t="s">
        <v>446</v>
      </c>
      <c r="D66" s="110" t="s">
        <v>463</v>
      </c>
    </row>
    <row r="67" spans="1:4" x14ac:dyDescent="0.4">
      <c r="A67" s="108" t="s">
        <v>164</v>
      </c>
      <c r="B67" s="108" t="s">
        <v>98</v>
      </c>
      <c r="C67" s="109" t="s">
        <v>94</v>
      </c>
      <c r="D67" s="110" t="s">
        <v>463</v>
      </c>
    </row>
    <row r="68" spans="1:4" x14ac:dyDescent="0.4">
      <c r="A68" s="108" t="s">
        <v>81</v>
      </c>
      <c r="B68" s="108" t="s">
        <v>76</v>
      </c>
      <c r="C68" s="109" t="s">
        <v>257</v>
      </c>
      <c r="D68" s="110" t="s">
        <v>463</v>
      </c>
    </row>
    <row r="69" spans="1:4" x14ac:dyDescent="0.4">
      <c r="A69" s="108" t="s">
        <v>165</v>
      </c>
      <c r="B69" s="108" t="s">
        <v>136</v>
      </c>
      <c r="C69" s="109" t="s">
        <v>1186</v>
      </c>
      <c r="D69" s="110" t="s">
        <v>463</v>
      </c>
    </row>
    <row r="70" spans="1:4" x14ac:dyDescent="0.4">
      <c r="A70" s="108" t="s">
        <v>67</v>
      </c>
      <c r="B70" s="108" t="s">
        <v>89</v>
      </c>
      <c r="C70" s="109" t="s">
        <v>1187</v>
      </c>
      <c r="D70" s="110" t="s">
        <v>463</v>
      </c>
    </row>
    <row r="71" spans="1:4" x14ac:dyDescent="0.4">
      <c r="A71" s="108" t="s">
        <v>164</v>
      </c>
      <c r="B71" s="108" t="s">
        <v>89</v>
      </c>
      <c r="C71" s="109" t="s">
        <v>240</v>
      </c>
      <c r="D71" s="110" t="s">
        <v>463</v>
      </c>
    </row>
    <row r="72" spans="1:4" x14ac:dyDescent="0.4">
      <c r="A72" s="108" t="s">
        <v>65</v>
      </c>
      <c r="B72" s="108" t="s">
        <v>83</v>
      </c>
      <c r="C72" s="109" t="s">
        <v>84</v>
      </c>
      <c r="D72" s="110" t="s">
        <v>463</v>
      </c>
    </row>
    <row r="73" spans="1:4" x14ac:dyDescent="0.4">
      <c r="A73" s="108" t="s">
        <v>92</v>
      </c>
      <c r="B73" s="108" t="s">
        <v>93</v>
      </c>
      <c r="C73" s="109" t="s">
        <v>1188</v>
      </c>
      <c r="D73" s="110" t="s">
        <v>463</v>
      </c>
    </row>
    <row r="74" spans="1:4" x14ac:dyDescent="0.4">
      <c r="A74" s="108" t="s">
        <v>78</v>
      </c>
      <c r="B74" s="108" t="s">
        <v>134</v>
      </c>
      <c r="C74" s="109" t="s">
        <v>247</v>
      </c>
      <c r="D74" s="110" t="s">
        <v>463</v>
      </c>
    </row>
    <row r="75" spans="1:4" x14ac:dyDescent="0.4">
      <c r="A75" s="108" t="s">
        <v>108</v>
      </c>
      <c r="B75" s="108" t="s">
        <v>98</v>
      </c>
      <c r="C75" s="109" t="s">
        <v>1189</v>
      </c>
      <c r="D75" s="110" t="s">
        <v>463</v>
      </c>
    </row>
    <row r="76" spans="1:4" x14ac:dyDescent="0.4">
      <c r="A76" s="108" t="s">
        <v>78</v>
      </c>
      <c r="B76" s="108" t="s">
        <v>125</v>
      </c>
      <c r="C76" s="109" t="s">
        <v>84</v>
      </c>
      <c r="D76" s="110" t="s">
        <v>463</v>
      </c>
    </row>
    <row r="77" spans="1:4" x14ac:dyDescent="0.4">
      <c r="A77" s="108" t="s">
        <v>92</v>
      </c>
      <c r="B77" s="108" t="s">
        <v>89</v>
      </c>
      <c r="C77" s="109" t="s">
        <v>240</v>
      </c>
      <c r="D77" s="110" t="s">
        <v>463</v>
      </c>
    </row>
    <row r="78" spans="1:4" x14ac:dyDescent="0.4">
      <c r="A78" s="108" t="s">
        <v>132</v>
      </c>
      <c r="B78" s="108" t="s">
        <v>83</v>
      </c>
      <c r="C78" s="109" t="s">
        <v>1190</v>
      </c>
      <c r="D78" s="110" t="s">
        <v>463</v>
      </c>
    </row>
    <row r="79" spans="1:4" x14ac:dyDescent="0.4">
      <c r="A79" s="108" t="s">
        <v>165</v>
      </c>
      <c r="B79" s="108" t="s">
        <v>93</v>
      </c>
      <c r="C79" s="109" t="s">
        <v>1191</v>
      </c>
      <c r="D79" s="110" t="s">
        <v>463</v>
      </c>
    </row>
    <row r="80" spans="1:4" x14ac:dyDescent="0.4">
      <c r="A80" s="108" t="s">
        <v>95</v>
      </c>
      <c r="B80" s="108" t="s">
        <v>111</v>
      </c>
      <c r="C80" s="109" t="s">
        <v>1192</v>
      </c>
      <c r="D80" s="110" t="s">
        <v>463</v>
      </c>
    </row>
    <row r="81" spans="1:4" x14ac:dyDescent="0.4">
      <c r="A81" s="108" t="s">
        <v>149</v>
      </c>
      <c r="B81" s="108" t="s">
        <v>153</v>
      </c>
      <c r="C81" s="109" t="s">
        <v>1170</v>
      </c>
      <c r="D81" s="110" t="s">
        <v>463</v>
      </c>
    </row>
    <row r="82" spans="1:4" x14ac:dyDescent="0.4">
      <c r="A82" s="108" t="s">
        <v>92</v>
      </c>
      <c r="B82" s="108" t="s">
        <v>76</v>
      </c>
      <c r="C82" s="109" t="s">
        <v>84</v>
      </c>
      <c r="D82" s="110" t="s">
        <v>463</v>
      </c>
    </row>
    <row r="83" spans="1:4" x14ac:dyDescent="0.4">
      <c r="A83" s="108" t="s">
        <v>103</v>
      </c>
      <c r="B83" s="108" t="s">
        <v>85</v>
      </c>
      <c r="C83" s="109" t="s">
        <v>227</v>
      </c>
      <c r="D83" s="110" t="s">
        <v>463</v>
      </c>
    </row>
    <row r="84" spans="1:4" x14ac:dyDescent="0.4">
      <c r="A84" s="108" t="s">
        <v>90</v>
      </c>
      <c r="B84" s="108" t="s">
        <v>107</v>
      </c>
      <c r="C84" s="109" t="s">
        <v>1193</v>
      </c>
      <c r="D84" s="110" t="s">
        <v>463</v>
      </c>
    </row>
    <row r="85" spans="1:4" x14ac:dyDescent="0.4">
      <c r="A85" s="108" t="s">
        <v>223</v>
      </c>
      <c r="B85" s="108" t="s">
        <v>98</v>
      </c>
      <c r="C85" s="109" t="s">
        <v>389</v>
      </c>
      <c r="D85" s="110" t="s">
        <v>463</v>
      </c>
    </row>
    <row r="86" spans="1:4" x14ac:dyDescent="0.4">
      <c r="A86" s="108" t="s">
        <v>97</v>
      </c>
      <c r="B86" s="108" t="s">
        <v>98</v>
      </c>
      <c r="C86" s="109" t="s">
        <v>1194</v>
      </c>
      <c r="D86" s="110" t="s">
        <v>463</v>
      </c>
    </row>
    <row r="87" spans="1:4" x14ac:dyDescent="0.4">
      <c r="A87" s="108" t="s">
        <v>103</v>
      </c>
      <c r="B87" s="108" t="s">
        <v>91</v>
      </c>
      <c r="C87" s="109" t="s">
        <v>84</v>
      </c>
      <c r="D87" s="110" t="s">
        <v>463</v>
      </c>
    </row>
    <row r="88" spans="1:4" x14ac:dyDescent="0.4">
      <c r="A88" s="108" t="s">
        <v>110</v>
      </c>
      <c r="B88" s="108" t="s">
        <v>76</v>
      </c>
      <c r="C88" s="109" t="s">
        <v>1195</v>
      </c>
      <c r="D88" s="110" t="s">
        <v>463</v>
      </c>
    </row>
    <row r="89" spans="1:4" x14ac:dyDescent="0.4">
      <c r="A89" s="108" t="s">
        <v>105</v>
      </c>
      <c r="B89" s="108" t="s">
        <v>101</v>
      </c>
      <c r="C89" s="109" t="s">
        <v>408</v>
      </c>
      <c r="D89" s="110" t="s">
        <v>463</v>
      </c>
    </row>
    <row r="90" spans="1:4" x14ac:dyDescent="0.4">
      <c r="A90" s="108" t="s">
        <v>117</v>
      </c>
      <c r="B90" s="108" t="s">
        <v>188</v>
      </c>
      <c r="C90" s="109" t="s">
        <v>79</v>
      </c>
      <c r="D90" s="110" t="s">
        <v>463</v>
      </c>
    </row>
    <row r="91" spans="1:4" x14ac:dyDescent="0.4">
      <c r="A91" s="108" t="s">
        <v>205</v>
      </c>
      <c r="B91" s="108" t="s">
        <v>101</v>
      </c>
      <c r="C91" s="109" t="s">
        <v>148</v>
      </c>
      <c r="D91" s="110" t="s">
        <v>463</v>
      </c>
    </row>
    <row r="92" spans="1:4" x14ac:dyDescent="0.4">
      <c r="A92" s="108" t="s">
        <v>181</v>
      </c>
      <c r="B92" s="108" t="s">
        <v>134</v>
      </c>
      <c r="C92" s="109" t="s">
        <v>86</v>
      </c>
      <c r="D92" s="110" t="s">
        <v>463</v>
      </c>
    </row>
    <row r="93" spans="1:4" x14ac:dyDescent="0.4">
      <c r="A93" s="108" t="s">
        <v>78</v>
      </c>
      <c r="B93" s="108" t="s">
        <v>128</v>
      </c>
      <c r="C93" s="109" t="s">
        <v>281</v>
      </c>
      <c r="D93" s="110" t="s">
        <v>463</v>
      </c>
    </row>
    <row r="94" spans="1:4" x14ac:dyDescent="0.4">
      <c r="A94" s="108" t="s">
        <v>103</v>
      </c>
      <c r="B94" s="108" t="s">
        <v>142</v>
      </c>
      <c r="C94" s="109" t="s">
        <v>226</v>
      </c>
      <c r="D94" s="110" t="s">
        <v>463</v>
      </c>
    </row>
    <row r="95" spans="1:4" x14ac:dyDescent="0.4">
      <c r="A95" s="108" t="s">
        <v>205</v>
      </c>
      <c r="B95" s="108" t="s">
        <v>93</v>
      </c>
      <c r="C95" s="109" t="s">
        <v>377</v>
      </c>
      <c r="D95" s="110" t="s">
        <v>463</v>
      </c>
    </row>
    <row r="96" spans="1:4" x14ac:dyDescent="0.4">
      <c r="A96" s="108" t="s">
        <v>152</v>
      </c>
      <c r="B96" s="108" t="s">
        <v>123</v>
      </c>
      <c r="C96" s="109" t="s">
        <v>289</v>
      </c>
      <c r="D96" s="110" t="s">
        <v>463</v>
      </c>
    </row>
    <row r="97" spans="1:4" x14ac:dyDescent="0.4">
      <c r="A97" s="108" t="s">
        <v>117</v>
      </c>
      <c r="B97" s="108" t="s">
        <v>111</v>
      </c>
      <c r="C97" s="109" t="s">
        <v>218</v>
      </c>
      <c r="D97" s="110" t="s">
        <v>463</v>
      </c>
    </row>
    <row r="98" spans="1:4" x14ac:dyDescent="0.4">
      <c r="A98" s="108" t="s">
        <v>114</v>
      </c>
      <c r="B98" s="108" t="s">
        <v>142</v>
      </c>
      <c r="C98" s="109" t="s">
        <v>84</v>
      </c>
      <c r="D98" s="110" t="s">
        <v>463</v>
      </c>
    </row>
    <row r="99" spans="1:4" x14ac:dyDescent="0.4">
      <c r="A99" s="108" t="s">
        <v>66</v>
      </c>
      <c r="B99" s="108" t="s">
        <v>136</v>
      </c>
      <c r="C99" s="109" t="s">
        <v>648</v>
      </c>
      <c r="D99" s="110" t="s">
        <v>463</v>
      </c>
    </row>
    <row r="100" spans="1:4" x14ac:dyDescent="0.4">
      <c r="A100" s="108" t="s">
        <v>141</v>
      </c>
      <c r="B100" s="108" t="s">
        <v>76</v>
      </c>
      <c r="C100" s="109" t="s">
        <v>151</v>
      </c>
      <c r="D100" s="110" t="s">
        <v>463</v>
      </c>
    </row>
    <row r="101" spans="1:4" x14ac:dyDescent="0.4">
      <c r="A101" s="108" t="s">
        <v>92</v>
      </c>
      <c r="B101" s="108" t="s">
        <v>83</v>
      </c>
      <c r="C101" s="109" t="s">
        <v>441</v>
      </c>
      <c r="D101" s="110" t="s">
        <v>463</v>
      </c>
    </row>
    <row r="102" spans="1:4" x14ac:dyDescent="0.4">
      <c r="A102" s="108" t="s">
        <v>178</v>
      </c>
      <c r="B102" s="108" t="s">
        <v>76</v>
      </c>
      <c r="C102" s="109" t="s">
        <v>1196</v>
      </c>
      <c r="D102" s="110" t="s">
        <v>463</v>
      </c>
    </row>
    <row r="103" spans="1:4" x14ac:dyDescent="0.4">
      <c r="A103" s="108" t="s">
        <v>127</v>
      </c>
      <c r="B103" s="108" t="s">
        <v>85</v>
      </c>
      <c r="C103" s="109" t="s">
        <v>448</v>
      </c>
      <c r="D103" s="110" t="s">
        <v>463</v>
      </c>
    </row>
    <row r="104" spans="1:4" x14ac:dyDescent="0.4">
      <c r="A104" s="108" t="s">
        <v>168</v>
      </c>
      <c r="B104" s="108" t="s">
        <v>93</v>
      </c>
      <c r="C104" s="109" t="s">
        <v>218</v>
      </c>
      <c r="D104" s="110" t="s">
        <v>463</v>
      </c>
    </row>
    <row r="105" spans="1:4" x14ac:dyDescent="0.4">
      <c r="A105" s="108" t="s">
        <v>81</v>
      </c>
      <c r="B105" s="108" t="s">
        <v>111</v>
      </c>
      <c r="C105" s="109" t="s">
        <v>1197</v>
      </c>
      <c r="D105" s="110" t="s">
        <v>463</v>
      </c>
    </row>
    <row r="106" spans="1:4" x14ac:dyDescent="0.4">
      <c r="A106" s="108" t="s">
        <v>149</v>
      </c>
      <c r="B106" s="108" t="s">
        <v>76</v>
      </c>
      <c r="C106" s="109" t="s">
        <v>84</v>
      </c>
      <c r="D106" s="110" t="s">
        <v>463</v>
      </c>
    </row>
    <row r="107" spans="1:4" x14ac:dyDescent="0.4">
      <c r="A107" s="108" t="s">
        <v>223</v>
      </c>
      <c r="B107" s="108" t="s">
        <v>134</v>
      </c>
      <c r="C107" s="109" t="s">
        <v>445</v>
      </c>
      <c r="D107" s="110" t="s">
        <v>463</v>
      </c>
    </row>
    <row r="108" spans="1:4" x14ac:dyDescent="0.4">
      <c r="A108" s="108" t="s">
        <v>92</v>
      </c>
      <c r="B108" s="108" t="s">
        <v>122</v>
      </c>
      <c r="C108" s="109" t="s">
        <v>84</v>
      </c>
      <c r="D108" s="110" t="s">
        <v>463</v>
      </c>
    </row>
    <row r="109" spans="1:4" x14ac:dyDescent="0.4">
      <c r="A109" s="108" t="s">
        <v>181</v>
      </c>
      <c r="B109" s="108" t="s">
        <v>125</v>
      </c>
      <c r="C109" s="109" t="s">
        <v>84</v>
      </c>
      <c r="D109" s="110" t="s">
        <v>463</v>
      </c>
    </row>
    <row r="110" spans="1:4" x14ac:dyDescent="0.4">
      <c r="A110" s="108" t="s">
        <v>204</v>
      </c>
      <c r="B110" s="108" t="s">
        <v>122</v>
      </c>
      <c r="C110" s="109" t="s">
        <v>84</v>
      </c>
      <c r="D110" s="110" t="s">
        <v>463</v>
      </c>
    </row>
    <row r="111" spans="1:4" x14ac:dyDescent="0.4">
      <c r="A111" s="108" t="s">
        <v>178</v>
      </c>
      <c r="B111" s="108" t="s">
        <v>76</v>
      </c>
      <c r="C111" s="109" t="s">
        <v>84</v>
      </c>
      <c r="D111" s="110" t="s">
        <v>463</v>
      </c>
    </row>
    <row r="112" spans="1:4" x14ac:dyDescent="0.4">
      <c r="A112" s="108" t="s">
        <v>132</v>
      </c>
      <c r="B112" s="108" t="s">
        <v>85</v>
      </c>
      <c r="C112" s="109" t="s">
        <v>1198</v>
      </c>
      <c r="D112" s="110" t="s">
        <v>463</v>
      </c>
    </row>
    <row r="113" spans="1:4" x14ac:dyDescent="0.4">
      <c r="A113" s="108" t="s">
        <v>108</v>
      </c>
      <c r="B113" s="108" t="s">
        <v>96</v>
      </c>
      <c r="C113" s="109" t="s">
        <v>109</v>
      </c>
      <c r="D113" s="110" t="s">
        <v>463</v>
      </c>
    </row>
    <row r="114" spans="1:4" x14ac:dyDescent="0.4">
      <c r="A114" s="108" t="s">
        <v>108</v>
      </c>
      <c r="B114" s="108" t="s">
        <v>123</v>
      </c>
      <c r="C114" s="109" t="s">
        <v>1199</v>
      </c>
      <c r="D114" s="110" t="s">
        <v>463</v>
      </c>
    </row>
    <row r="115" spans="1:4" x14ac:dyDescent="0.4">
      <c r="A115" s="108" t="s">
        <v>178</v>
      </c>
      <c r="B115" s="108" t="s">
        <v>130</v>
      </c>
      <c r="C115" s="109" t="s">
        <v>1200</v>
      </c>
      <c r="D115" s="110" t="s">
        <v>463</v>
      </c>
    </row>
    <row r="116" spans="1:4" x14ac:dyDescent="0.4">
      <c r="A116" s="108" t="s">
        <v>223</v>
      </c>
      <c r="B116" s="108" t="s">
        <v>93</v>
      </c>
      <c r="C116" s="109" t="s">
        <v>1201</v>
      </c>
      <c r="D116" s="110" t="s">
        <v>463</v>
      </c>
    </row>
    <row r="117" spans="1:4" x14ac:dyDescent="0.4">
      <c r="A117" s="108" t="s">
        <v>178</v>
      </c>
      <c r="B117" s="108" t="s">
        <v>125</v>
      </c>
      <c r="C117" s="109" t="s">
        <v>270</v>
      </c>
      <c r="D117" s="110" t="s">
        <v>463</v>
      </c>
    </row>
    <row r="118" spans="1:4" x14ac:dyDescent="0.4">
      <c r="A118" s="108" t="s">
        <v>205</v>
      </c>
      <c r="B118" s="108" t="s">
        <v>96</v>
      </c>
      <c r="C118" s="109" t="s">
        <v>1202</v>
      </c>
      <c r="D118" s="110" t="s">
        <v>463</v>
      </c>
    </row>
    <row r="119" spans="1:4" x14ac:dyDescent="0.4">
      <c r="A119" s="108" t="s">
        <v>249</v>
      </c>
      <c r="B119" s="108" t="s">
        <v>76</v>
      </c>
      <c r="C119" s="109" t="s">
        <v>84</v>
      </c>
      <c r="D119" s="110" t="s">
        <v>463</v>
      </c>
    </row>
    <row r="120" spans="1:4" x14ac:dyDescent="0.4">
      <c r="A120" s="108" t="s">
        <v>144</v>
      </c>
      <c r="B120" s="108" t="s">
        <v>125</v>
      </c>
      <c r="C120" s="109" t="s">
        <v>84</v>
      </c>
      <c r="D120" s="110" t="s">
        <v>463</v>
      </c>
    </row>
    <row r="121" spans="1:4" x14ac:dyDescent="0.4">
      <c r="A121" s="108" t="s">
        <v>141</v>
      </c>
      <c r="B121" s="108" t="s">
        <v>142</v>
      </c>
      <c r="C121" s="109" t="s">
        <v>234</v>
      </c>
      <c r="D121" s="110" t="s">
        <v>463</v>
      </c>
    </row>
    <row r="122" spans="1:4" x14ac:dyDescent="0.4">
      <c r="A122" s="108" t="s">
        <v>65</v>
      </c>
      <c r="B122" s="108" t="s">
        <v>101</v>
      </c>
      <c r="C122" s="109" t="s">
        <v>381</v>
      </c>
      <c r="D122" s="110" t="s">
        <v>463</v>
      </c>
    </row>
    <row r="123" spans="1:4" x14ac:dyDescent="0.4">
      <c r="A123" s="108" t="s">
        <v>177</v>
      </c>
      <c r="B123" s="108" t="s">
        <v>130</v>
      </c>
      <c r="C123" s="109" t="s">
        <v>1203</v>
      </c>
      <c r="D123" s="110" t="s">
        <v>463</v>
      </c>
    </row>
    <row r="124" spans="1:4" x14ac:dyDescent="0.4">
      <c r="A124" s="108" t="s">
        <v>65</v>
      </c>
      <c r="B124" s="108" t="s">
        <v>125</v>
      </c>
      <c r="C124" s="109" t="s">
        <v>84</v>
      </c>
      <c r="D124" s="110" t="s">
        <v>463</v>
      </c>
    </row>
    <row r="125" spans="1:4" x14ac:dyDescent="0.4">
      <c r="A125" s="108" t="s">
        <v>97</v>
      </c>
      <c r="B125" s="108" t="s">
        <v>96</v>
      </c>
      <c r="C125" s="109" t="s">
        <v>84</v>
      </c>
      <c r="D125" s="110" t="s">
        <v>463</v>
      </c>
    </row>
    <row r="126" spans="1:4" x14ac:dyDescent="0.4">
      <c r="A126" s="108" t="s">
        <v>205</v>
      </c>
      <c r="B126" s="108" t="s">
        <v>91</v>
      </c>
      <c r="C126" s="109" t="s">
        <v>84</v>
      </c>
      <c r="D126" s="110" t="s">
        <v>463</v>
      </c>
    </row>
    <row r="127" spans="1:4" x14ac:dyDescent="0.4">
      <c r="A127" s="108" t="s">
        <v>167</v>
      </c>
      <c r="B127" s="108" t="s">
        <v>106</v>
      </c>
      <c r="C127" s="109" t="s">
        <v>290</v>
      </c>
      <c r="D127" s="110" t="s">
        <v>463</v>
      </c>
    </row>
    <row r="128" spans="1:4" x14ac:dyDescent="0.4">
      <c r="A128" s="108" t="s">
        <v>97</v>
      </c>
      <c r="B128" s="108" t="s">
        <v>142</v>
      </c>
      <c r="C128" s="109" t="s">
        <v>301</v>
      </c>
      <c r="D128" s="110" t="s">
        <v>463</v>
      </c>
    </row>
    <row r="129" spans="1:4" x14ac:dyDescent="0.4">
      <c r="A129" s="108" t="s">
        <v>87</v>
      </c>
      <c r="B129" s="108" t="s">
        <v>145</v>
      </c>
      <c r="C129" s="109" t="s">
        <v>240</v>
      </c>
      <c r="D129" s="110" t="s">
        <v>463</v>
      </c>
    </row>
    <row r="130" spans="1:4" x14ac:dyDescent="0.4">
      <c r="A130" s="108" t="s">
        <v>132</v>
      </c>
      <c r="B130" s="108" t="s">
        <v>125</v>
      </c>
      <c r="C130" s="109" t="s">
        <v>246</v>
      </c>
      <c r="D130" s="110" t="s">
        <v>463</v>
      </c>
    </row>
    <row r="131" spans="1:4" x14ac:dyDescent="0.4">
      <c r="A131" s="108" t="s">
        <v>87</v>
      </c>
      <c r="B131" s="108" t="s">
        <v>1179</v>
      </c>
      <c r="C131" s="109" t="s">
        <v>240</v>
      </c>
      <c r="D131" s="110" t="s">
        <v>463</v>
      </c>
    </row>
    <row r="132" spans="1:4" x14ac:dyDescent="0.4">
      <c r="A132" s="108" t="s">
        <v>100</v>
      </c>
      <c r="B132" s="108" t="s">
        <v>83</v>
      </c>
      <c r="C132" s="109" t="s">
        <v>175</v>
      </c>
      <c r="D132" s="110" t="s">
        <v>463</v>
      </c>
    </row>
    <row r="133" spans="1:4" x14ac:dyDescent="0.4">
      <c r="A133" s="108" t="s">
        <v>163</v>
      </c>
      <c r="B133" s="108" t="s">
        <v>123</v>
      </c>
      <c r="C133" s="109" t="s">
        <v>1204</v>
      </c>
      <c r="D133" s="110" t="s">
        <v>463</v>
      </c>
    </row>
    <row r="134" spans="1:4" x14ac:dyDescent="0.4">
      <c r="A134" s="108" t="s">
        <v>202</v>
      </c>
      <c r="B134" s="108" t="s">
        <v>89</v>
      </c>
      <c r="C134" s="109" t="s">
        <v>449</v>
      </c>
      <c r="D134" s="110" t="s">
        <v>463</v>
      </c>
    </row>
    <row r="135" spans="1:4" x14ac:dyDescent="0.4">
      <c r="A135" s="108" t="s">
        <v>95</v>
      </c>
      <c r="B135" s="108" t="s">
        <v>136</v>
      </c>
      <c r="C135" s="109" t="s">
        <v>1164</v>
      </c>
      <c r="D135" s="110" t="s">
        <v>463</v>
      </c>
    </row>
    <row r="136" spans="1:4" x14ac:dyDescent="0.4">
      <c r="A136" s="108" t="s">
        <v>114</v>
      </c>
      <c r="B136" s="108" t="s">
        <v>125</v>
      </c>
      <c r="C136" s="109" t="s">
        <v>82</v>
      </c>
      <c r="D136" s="110" t="s">
        <v>463</v>
      </c>
    </row>
    <row r="137" spans="1:4" x14ac:dyDescent="0.4">
      <c r="A137" s="108" t="s">
        <v>149</v>
      </c>
      <c r="B137" s="108" t="s">
        <v>111</v>
      </c>
      <c r="C137" s="109" t="s">
        <v>1205</v>
      </c>
      <c r="D137" s="110" t="s">
        <v>463</v>
      </c>
    </row>
    <row r="138" spans="1:4" x14ac:dyDescent="0.4">
      <c r="A138" s="108" t="s">
        <v>164</v>
      </c>
      <c r="B138" s="108" t="s">
        <v>96</v>
      </c>
      <c r="C138" s="109" t="s">
        <v>1206</v>
      </c>
      <c r="D138" s="110" t="s">
        <v>463</v>
      </c>
    </row>
    <row r="139" spans="1:4" x14ac:dyDescent="0.4">
      <c r="A139" s="108" t="s">
        <v>87</v>
      </c>
      <c r="B139" s="108" t="s">
        <v>99</v>
      </c>
      <c r="C139" s="109" t="s">
        <v>240</v>
      </c>
      <c r="D139" s="110" t="s">
        <v>463</v>
      </c>
    </row>
    <row r="140" spans="1:4" x14ac:dyDescent="0.4">
      <c r="A140" s="108" t="s">
        <v>104</v>
      </c>
      <c r="B140" s="108" t="s">
        <v>130</v>
      </c>
      <c r="C140" s="109" t="s">
        <v>927</v>
      </c>
      <c r="D140" s="110" t="s">
        <v>463</v>
      </c>
    </row>
    <row r="141" spans="1:4" x14ac:dyDescent="0.4">
      <c r="A141" s="108" t="s">
        <v>199</v>
      </c>
      <c r="B141" s="108" t="s">
        <v>120</v>
      </c>
      <c r="C141" s="109" t="s">
        <v>1207</v>
      </c>
      <c r="D141" s="110" t="s">
        <v>463</v>
      </c>
    </row>
    <row r="142" spans="1:4" x14ac:dyDescent="0.4">
      <c r="A142" s="108" t="s">
        <v>65</v>
      </c>
      <c r="B142" s="108" t="s">
        <v>91</v>
      </c>
      <c r="C142" s="109" t="s">
        <v>84</v>
      </c>
      <c r="D142" s="110" t="s">
        <v>463</v>
      </c>
    </row>
    <row r="143" spans="1:4" x14ac:dyDescent="0.4">
      <c r="A143" s="108" t="s">
        <v>139</v>
      </c>
      <c r="B143" s="108" t="s">
        <v>134</v>
      </c>
      <c r="C143" s="109" t="s">
        <v>84</v>
      </c>
      <c r="D143" s="110" t="s">
        <v>463</v>
      </c>
    </row>
    <row r="144" spans="1:4" x14ac:dyDescent="0.4">
      <c r="A144" s="108" t="s">
        <v>117</v>
      </c>
      <c r="B144" s="108" t="s">
        <v>76</v>
      </c>
      <c r="C144" s="109" t="s">
        <v>79</v>
      </c>
      <c r="D144" s="110" t="s">
        <v>463</v>
      </c>
    </row>
    <row r="145" spans="1:4" x14ac:dyDescent="0.4">
      <c r="A145" s="108" t="s">
        <v>108</v>
      </c>
      <c r="B145" s="108" t="s">
        <v>122</v>
      </c>
      <c r="C145" s="109" t="s">
        <v>84</v>
      </c>
      <c r="D145" s="110" t="s">
        <v>463</v>
      </c>
    </row>
    <row r="146" spans="1:4" x14ac:dyDescent="0.4">
      <c r="A146" s="108" t="s">
        <v>124</v>
      </c>
      <c r="B146" s="108" t="s">
        <v>91</v>
      </c>
      <c r="C146" s="109" t="s">
        <v>84</v>
      </c>
      <c r="D146" s="110" t="s">
        <v>463</v>
      </c>
    </row>
    <row r="147" spans="1:4" x14ac:dyDescent="0.4">
      <c r="A147" s="108" t="s">
        <v>100</v>
      </c>
      <c r="B147" s="108" t="s">
        <v>122</v>
      </c>
      <c r="C147" s="109" t="s">
        <v>84</v>
      </c>
      <c r="D147" s="110" t="s">
        <v>463</v>
      </c>
    </row>
    <row r="148" spans="1:4" x14ac:dyDescent="0.4">
      <c r="A148" s="108" t="s">
        <v>168</v>
      </c>
      <c r="B148" s="108" t="s">
        <v>76</v>
      </c>
      <c r="C148" s="109" t="s">
        <v>247</v>
      </c>
      <c r="D148" s="110" t="s">
        <v>463</v>
      </c>
    </row>
    <row r="149" spans="1:4" x14ac:dyDescent="0.4">
      <c r="A149" s="108" t="s">
        <v>205</v>
      </c>
      <c r="B149" s="108" t="s">
        <v>122</v>
      </c>
      <c r="C149" s="109" t="s">
        <v>84</v>
      </c>
      <c r="D149" s="110" t="s">
        <v>463</v>
      </c>
    </row>
    <row r="150" spans="1:4" x14ac:dyDescent="0.4">
      <c r="A150" s="108" t="s">
        <v>223</v>
      </c>
      <c r="B150" s="108" t="s">
        <v>96</v>
      </c>
      <c r="C150" s="109" t="s">
        <v>1208</v>
      </c>
      <c r="D150" s="110" t="s">
        <v>463</v>
      </c>
    </row>
    <row r="151" spans="1:4" x14ac:dyDescent="0.4">
      <c r="A151" s="108" t="s">
        <v>105</v>
      </c>
      <c r="B151" s="108" t="s">
        <v>93</v>
      </c>
      <c r="C151" s="109" t="s">
        <v>261</v>
      </c>
      <c r="D151" s="110" t="s">
        <v>463</v>
      </c>
    </row>
    <row r="152" spans="1:4" x14ac:dyDescent="0.4">
      <c r="A152" s="108" t="s">
        <v>139</v>
      </c>
      <c r="B152" s="108" t="s">
        <v>142</v>
      </c>
      <c r="C152" s="109" t="s">
        <v>233</v>
      </c>
      <c r="D152" s="110" t="s">
        <v>463</v>
      </c>
    </row>
    <row r="153" spans="1:4" x14ac:dyDescent="0.4">
      <c r="A153" s="108" t="s">
        <v>87</v>
      </c>
      <c r="B153" s="108" t="s">
        <v>76</v>
      </c>
      <c r="C153" s="109" t="s">
        <v>84</v>
      </c>
      <c r="D153" s="110" t="s">
        <v>463</v>
      </c>
    </row>
    <row r="154" spans="1:4" x14ac:dyDescent="0.4">
      <c r="A154" s="108" t="s">
        <v>152</v>
      </c>
      <c r="B154" s="108" t="s">
        <v>83</v>
      </c>
      <c r="C154" s="109" t="s">
        <v>84</v>
      </c>
      <c r="D154" s="110" t="s">
        <v>463</v>
      </c>
    </row>
    <row r="155" spans="1:4" x14ac:dyDescent="0.4">
      <c r="A155" s="108" t="s">
        <v>105</v>
      </c>
      <c r="B155" s="108" t="s">
        <v>96</v>
      </c>
      <c r="C155" s="109" t="s">
        <v>1209</v>
      </c>
      <c r="D155" s="110" t="s">
        <v>463</v>
      </c>
    </row>
    <row r="156" spans="1:4" x14ac:dyDescent="0.4">
      <c r="A156" s="108" t="s">
        <v>1176</v>
      </c>
      <c r="B156" s="108" t="s">
        <v>145</v>
      </c>
      <c r="C156" s="109" t="s">
        <v>1187</v>
      </c>
      <c r="D156" s="110" t="s">
        <v>463</v>
      </c>
    </row>
    <row r="157" spans="1:4" x14ac:dyDescent="0.4">
      <c r="A157" s="108" t="s">
        <v>87</v>
      </c>
      <c r="B157" s="108" t="s">
        <v>125</v>
      </c>
      <c r="C157" s="109" t="s">
        <v>1210</v>
      </c>
      <c r="D157" s="110" t="s">
        <v>463</v>
      </c>
    </row>
    <row r="158" spans="1:4" x14ac:dyDescent="0.4">
      <c r="A158" s="108" t="s">
        <v>92</v>
      </c>
      <c r="B158" s="108" t="s">
        <v>99</v>
      </c>
      <c r="C158" s="109" t="s">
        <v>240</v>
      </c>
      <c r="D158" s="110" t="s">
        <v>463</v>
      </c>
    </row>
    <row r="159" spans="1:4" x14ac:dyDescent="0.4">
      <c r="A159" s="108" t="s">
        <v>178</v>
      </c>
      <c r="B159" s="108" t="s">
        <v>123</v>
      </c>
      <c r="C159" s="109" t="s">
        <v>269</v>
      </c>
      <c r="D159" s="110" t="s">
        <v>463</v>
      </c>
    </row>
    <row r="160" spans="1:4" x14ac:dyDescent="0.4">
      <c r="A160" s="108" t="s">
        <v>132</v>
      </c>
      <c r="B160" s="108" t="s">
        <v>142</v>
      </c>
      <c r="C160" s="109" t="s">
        <v>84</v>
      </c>
      <c r="D160" s="110" t="s">
        <v>463</v>
      </c>
    </row>
    <row r="161" spans="1:4" x14ac:dyDescent="0.4">
      <c r="A161" s="108" t="s">
        <v>159</v>
      </c>
      <c r="B161" s="108" t="s">
        <v>125</v>
      </c>
      <c r="C161" s="109" t="s">
        <v>189</v>
      </c>
      <c r="D161" s="110" t="s">
        <v>463</v>
      </c>
    </row>
    <row r="162" spans="1:4" x14ac:dyDescent="0.4">
      <c r="A162" s="108" t="s">
        <v>152</v>
      </c>
      <c r="B162" s="108" t="s">
        <v>98</v>
      </c>
      <c r="C162" s="109" t="s">
        <v>648</v>
      </c>
      <c r="D162" s="110" t="s">
        <v>463</v>
      </c>
    </row>
    <row r="163" spans="1:4" x14ac:dyDescent="0.4">
      <c r="A163" s="108" t="s">
        <v>114</v>
      </c>
      <c r="B163" s="108" t="s">
        <v>111</v>
      </c>
      <c r="C163" s="109" t="s">
        <v>1211</v>
      </c>
      <c r="D163" s="110" t="s">
        <v>463</v>
      </c>
    </row>
    <row r="164" spans="1:4" x14ac:dyDescent="0.4">
      <c r="A164" s="108" t="s">
        <v>139</v>
      </c>
      <c r="B164" s="108" t="s">
        <v>134</v>
      </c>
      <c r="C164" s="109" t="s">
        <v>764</v>
      </c>
      <c r="D164" s="110" t="s">
        <v>463</v>
      </c>
    </row>
    <row r="165" spans="1:4" x14ac:dyDescent="0.4">
      <c r="A165" s="108" t="s">
        <v>66</v>
      </c>
      <c r="B165" s="108" t="s">
        <v>98</v>
      </c>
      <c r="C165" s="109" t="s">
        <v>155</v>
      </c>
      <c r="D165" s="110" t="s">
        <v>463</v>
      </c>
    </row>
    <row r="166" spans="1:4" x14ac:dyDescent="0.4">
      <c r="A166" s="108" t="s">
        <v>103</v>
      </c>
      <c r="B166" s="108" t="s">
        <v>83</v>
      </c>
      <c r="C166" s="109" t="s">
        <v>233</v>
      </c>
      <c r="D166" s="110" t="s">
        <v>463</v>
      </c>
    </row>
    <row r="167" spans="1:4" x14ac:dyDescent="0.4">
      <c r="A167" s="108" t="s">
        <v>152</v>
      </c>
      <c r="B167" s="108" t="s">
        <v>142</v>
      </c>
      <c r="C167" s="109" t="s">
        <v>84</v>
      </c>
      <c r="D167" s="110" t="s">
        <v>463</v>
      </c>
    </row>
    <row r="168" spans="1:4" x14ac:dyDescent="0.4">
      <c r="A168" s="108" t="s">
        <v>168</v>
      </c>
      <c r="B168" s="108" t="s">
        <v>142</v>
      </c>
      <c r="C168" s="109" t="s">
        <v>84</v>
      </c>
      <c r="D168" s="110" t="s">
        <v>463</v>
      </c>
    </row>
    <row r="169" spans="1:4" x14ac:dyDescent="0.4">
      <c r="A169" s="108" t="s">
        <v>139</v>
      </c>
      <c r="B169" s="108" t="s">
        <v>89</v>
      </c>
      <c r="C169" s="109" t="s">
        <v>240</v>
      </c>
      <c r="D169" s="110" t="s">
        <v>463</v>
      </c>
    </row>
    <row r="170" spans="1:4" x14ac:dyDescent="0.4">
      <c r="A170" s="108" t="s">
        <v>65</v>
      </c>
      <c r="B170" s="108" t="s">
        <v>122</v>
      </c>
      <c r="C170" s="109" t="s">
        <v>84</v>
      </c>
      <c r="D170" s="110" t="s">
        <v>463</v>
      </c>
    </row>
    <row r="171" spans="1:4" x14ac:dyDescent="0.4">
      <c r="A171" s="108" t="s">
        <v>78</v>
      </c>
      <c r="B171" s="108" t="s">
        <v>76</v>
      </c>
      <c r="C171" s="109" t="s">
        <v>247</v>
      </c>
      <c r="D171" s="110" t="s">
        <v>463</v>
      </c>
    </row>
    <row r="172" spans="1:4" x14ac:dyDescent="0.4">
      <c r="A172" s="108" t="s">
        <v>223</v>
      </c>
      <c r="B172" s="108" t="s">
        <v>91</v>
      </c>
      <c r="C172" s="109" t="s">
        <v>84</v>
      </c>
      <c r="D172" s="110" t="s">
        <v>463</v>
      </c>
    </row>
    <row r="173" spans="1:4" x14ac:dyDescent="0.4">
      <c r="A173" s="108" t="s">
        <v>139</v>
      </c>
      <c r="B173" s="108" t="s">
        <v>89</v>
      </c>
      <c r="C173" s="109" t="s">
        <v>449</v>
      </c>
      <c r="D173" s="110" t="s">
        <v>463</v>
      </c>
    </row>
    <row r="174" spans="1:4" x14ac:dyDescent="0.4">
      <c r="A174" s="108" t="s">
        <v>78</v>
      </c>
      <c r="B174" s="108" t="s">
        <v>91</v>
      </c>
      <c r="C174" s="109" t="s">
        <v>84</v>
      </c>
      <c r="D174" s="110" t="s">
        <v>463</v>
      </c>
    </row>
    <row r="175" spans="1:4" x14ac:dyDescent="0.4">
      <c r="A175" s="108" t="s">
        <v>168</v>
      </c>
      <c r="B175" s="108" t="s">
        <v>106</v>
      </c>
      <c r="C175" s="109" t="s">
        <v>84</v>
      </c>
      <c r="D175" s="110" t="s">
        <v>463</v>
      </c>
    </row>
    <row r="176" spans="1:4" x14ac:dyDescent="0.4">
      <c r="A176" s="108" t="s">
        <v>1171</v>
      </c>
      <c r="B176" s="108" t="s">
        <v>128</v>
      </c>
      <c r="C176" s="109" t="s">
        <v>133</v>
      </c>
      <c r="D176" s="110" t="s">
        <v>463</v>
      </c>
    </row>
    <row r="177" spans="1:4" x14ac:dyDescent="0.4">
      <c r="A177" s="108" t="s">
        <v>1171</v>
      </c>
      <c r="B177" s="108" t="s">
        <v>93</v>
      </c>
      <c r="C177" s="109" t="s">
        <v>282</v>
      </c>
      <c r="D177" s="110" t="s">
        <v>463</v>
      </c>
    </row>
    <row r="178" spans="1:4" x14ac:dyDescent="0.4">
      <c r="A178" s="108" t="s">
        <v>181</v>
      </c>
      <c r="B178" s="108" t="s">
        <v>101</v>
      </c>
      <c r="C178" s="109" t="s">
        <v>1164</v>
      </c>
      <c r="D178" s="110" t="s">
        <v>463</v>
      </c>
    </row>
    <row r="179" spans="1:4" x14ac:dyDescent="0.4">
      <c r="A179" s="108" t="s">
        <v>167</v>
      </c>
      <c r="B179" s="108" t="s">
        <v>111</v>
      </c>
      <c r="C179" s="109" t="s">
        <v>1212</v>
      </c>
      <c r="D179" s="110" t="s">
        <v>463</v>
      </c>
    </row>
    <row r="180" spans="1:4" x14ac:dyDescent="0.4">
      <c r="A180" s="108" t="s">
        <v>81</v>
      </c>
      <c r="B180" s="108" t="s">
        <v>89</v>
      </c>
      <c r="C180" s="109" t="s">
        <v>1164</v>
      </c>
      <c r="D180" s="110" t="s">
        <v>463</v>
      </c>
    </row>
    <row r="181" spans="1:4" x14ac:dyDescent="0.4">
      <c r="A181" s="108" t="s">
        <v>181</v>
      </c>
      <c r="B181" s="108" t="s">
        <v>122</v>
      </c>
      <c r="C181" s="109" t="s">
        <v>84</v>
      </c>
      <c r="D181" s="110" t="s">
        <v>463</v>
      </c>
    </row>
    <row r="182" spans="1:4" x14ac:dyDescent="0.4">
      <c r="A182" s="108" t="s">
        <v>167</v>
      </c>
      <c r="B182" s="108" t="s">
        <v>130</v>
      </c>
      <c r="C182" s="109" t="s">
        <v>1189</v>
      </c>
      <c r="D182" s="110" t="s">
        <v>463</v>
      </c>
    </row>
    <row r="183" spans="1:4" x14ac:dyDescent="0.4">
      <c r="A183" s="108" t="s">
        <v>149</v>
      </c>
      <c r="B183" s="108" t="s">
        <v>145</v>
      </c>
      <c r="C183" s="109" t="s">
        <v>449</v>
      </c>
      <c r="D183" s="110" t="s">
        <v>463</v>
      </c>
    </row>
    <row r="184" spans="1:4" x14ac:dyDescent="0.4">
      <c r="A184" s="108" t="s">
        <v>152</v>
      </c>
      <c r="B184" s="108" t="s">
        <v>93</v>
      </c>
      <c r="C184" s="109" t="s">
        <v>1213</v>
      </c>
      <c r="D184" s="110" t="s">
        <v>463</v>
      </c>
    </row>
    <row r="185" spans="1:4" x14ac:dyDescent="0.4">
      <c r="A185" s="108" t="s">
        <v>141</v>
      </c>
      <c r="B185" s="108" t="s">
        <v>134</v>
      </c>
      <c r="C185" s="109" t="s">
        <v>84</v>
      </c>
      <c r="D185" s="110" t="s">
        <v>463</v>
      </c>
    </row>
    <row r="186" spans="1:4" x14ac:dyDescent="0.4">
      <c r="A186" s="108" t="s">
        <v>124</v>
      </c>
      <c r="B186" s="108" t="s">
        <v>106</v>
      </c>
      <c r="C186" s="109" t="s">
        <v>84</v>
      </c>
      <c r="D186" s="110" t="s">
        <v>463</v>
      </c>
    </row>
    <row r="187" spans="1:4" x14ac:dyDescent="0.4">
      <c r="A187" s="108" t="s">
        <v>127</v>
      </c>
      <c r="B187" s="108" t="s">
        <v>153</v>
      </c>
      <c r="C187" s="109" t="s">
        <v>240</v>
      </c>
      <c r="D187" s="110" t="s">
        <v>463</v>
      </c>
    </row>
    <row r="188" spans="1:4" x14ac:dyDescent="0.4">
      <c r="A188" s="108" t="s">
        <v>127</v>
      </c>
      <c r="B188" s="108" t="s">
        <v>122</v>
      </c>
      <c r="C188" s="109" t="s">
        <v>1214</v>
      </c>
      <c r="D188" s="110" t="s">
        <v>463</v>
      </c>
    </row>
    <row r="189" spans="1:4" x14ac:dyDescent="0.4">
      <c r="A189" s="108" t="s">
        <v>152</v>
      </c>
      <c r="B189" s="108" t="s">
        <v>188</v>
      </c>
      <c r="C189" s="109" t="s">
        <v>1215</v>
      </c>
      <c r="D189" s="110" t="s">
        <v>463</v>
      </c>
    </row>
    <row r="190" spans="1:4" x14ac:dyDescent="0.4">
      <c r="A190" s="108" t="s">
        <v>87</v>
      </c>
      <c r="B190" s="108" t="s">
        <v>142</v>
      </c>
      <c r="C190" s="109" t="s">
        <v>84</v>
      </c>
      <c r="D190" s="110" t="s">
        <v>463</v>
      </c>
    </row>
    <row r="191" spans="1:4" x14ac:dyDescent="0.4">
      <c r="A191" s="108" t="s">
        <v>1171</v>
      </c>
      <c r="B191" s="108" t="s">
        <v>111</v>
      </c>
      <c r="C191" s="109" t="s">
        <v>86</v>
      </c>
      <c r="D191" s="110" t="s">
        <v>463</v>
      </c>
    </row>
    <row r="192" spans="1:4" x14ac:dyDescent="0.4">
      <c r="A192" s="108" t="s">
        <v>105</v>
      </c>
      <c r="B192" s="108" t="s">
        <v>134</v>
      </c>
      <c r="C192" s="109" t="s">
        <v>84</v>
      </c>
      <c r="D192" s="110" t="s">
        <v>463</v>
      </c>
    </row>
    <row r="193" spans="1:4" x14ac:dyDescent="0.4">
      <c r="A193" s="108" t="s">
        <v>1182</v>
      </c>
      <c r="B193" s="108" t="s">
        <v>134</v>
      </c>
      <c r="C193" s="109" t="s">
        <v>424</v>
      </c>
      <c r="D193" s="110" t="s">
        <v>463</v>
      </c>
    </row>
    <row r="194" spans="1:4" x14ac:dyDescent="0.4">
      <c r="A194" s="108" t="s">
        <v>132</v>
      </c>
      <c r="B194" s="108" t="s">
        <v>130</v>
      </c>
      <c r="C194" s="109" t="s">
        <v>1180</v>
      </c>
      <c r="D194" s="110" t="s">
        <v>463</v>
      </c>
    </row>
    <row r="195" spans="1:4" x14ac:dyDescent="0.4">
      <c r="A195" s="108" t="s">
        <v>178</v>
      </c>
      <c r="B195" s="108" t="s">
        <v>101</v>
      </c>
      <c r="C195" s="109" t="s">
        <v>282</v>
      </c>
      <c r="D195" s="110" t="s">
        <v>463</v>
      </c>
    </row>
    <row r="196" spans="1:4" x14ac:dyDescent="0.4">
      <c r="A196" s="108" t="s">
        <v>103</v>
      </c>
      <c r="B196" s="108" t="s">
        <v>122</v>
      </c>
      <c r="C196" s="109" t="s">
        <v>84</v>
      </c>
      <c r="D196" s="110" t="s">
        <v>463</v>
      </c>
    </row>
    <row r="197" spans="1:4" x14ac:dyDescent="0.4">
      <c r="A197" s="108" t="s">
        <v>127</v>
      </c>
      <c r="B197" s="108" t="s">
        <v>145</v>
      </c>
      <c r="C197" s="109" t="s">
        <v>449</v>
      </c>
      <c r="D197" s="110" t="s">
        <v>463</v>
      </c>
    </row>
    <row r="198" spans="1:4" x14ac:dyDescent="0.4">
      <c r="A198" s="108" t="s">
        <v>181</v>
      </c>
      <c r="B198" s="108" t="s">
        <v>142</v>
      </c>
      <c r="C198" s="109" t="s">
        <v>84</v>
      </c>
      <c r="D198" s="110" t="s">
        <v>463</v>
      </c>
    </row>
    <row r="199" spans="1:4" x14ac:dyDescent="0.4">
      <c r="A199" s="108" t="s">
        <v>81</v>
      </c>
      <c r="B199" s="108" t="s">
        <v>142</v>
      </c>
      <c r="C199" s="109" t="s">
        <v>84</v>
      </c>
      <c r="D199" s="110" t="s">
        <v>463</v>
      </c>
    </row>
    <row r="200" spans="1:4" x14ac:dyDescent="0.4">
      <c r="A200" s="108" t="s">
        <v>110</v>
      </c>
      <c r="B200" s="108" t="s">
        <v>101</v>
      </c>
      <c r="C200" s="109" t="s">
        <v>1216</v>
      </c>
      <c r="D200" s="110" t="s">
        <v>463</v>
      </c>
    </row>
    <row r="201" spans="1:4" x14ac:dyDescent="0.4">
      <c r="A201" s="108" t="s">
        <v>97</v>
      </c>
      <c r="B201" s="108" t="s">
        <v>111</v>
      </c>
      <c r="C201" s="109" t="s">
        <v>220</v>
      </c>
      <c r="D201" s="110" t="s">
        <v>463</v>
      </c>
    </row>
    <row r="202" spans="1:4" x14ac:dyDescent="0.4">
      <c r="A202" s="108" t="s">
        <v>132</v>
      </c>
      <c r="B202" s="108" t="s">
        <v>96</v>
      </c>
      <c r="C202" s="109" t="s">
        <v>396</v>
      </c>
      <c r="D202" s="110" t="s">
        <v>463</v>
      </c>
    </row>
    <row r="203" spans="1:4" x14ac:dyDescent="0.4">
      <c r="A203" s="108" t="s">
        <v>81</v>
      </c>
      <c r="B203" s="108" t="s">
        <v>85</v>
      </c>
      <c r="C203" s="109" t="s">
        <v>429</v>
      </c>
      <c r="D203" s="110" t="s">
        <v>463</v>
      </c>
    </row>
    <row r="204" spans="1:4" x14ac:dyDescent="0.4">
      <c r="A204" s="108" t="s">
        <v>149</v>
      </c>
      <c r="B204" s="108" t="s">
        <v>130</v>
      </c>
      <c r="C204" s="109" t="s">
        <v>1217</v>
      </c>
      <c r="D204" s="110" t="s">
        <v>463</v>
      </c>
    </row>
    <row r="205" spans="1:4" x14ac:dyDescent="0.4">
      <c r="A205" s="108" t="s">
        <v>65</v>
      </c>
      <c r="B205" s="108" t="s">
        <v>93</v>
      </c>
      <c r="C205" s="109" t="s">
        <v>209</v>
      </c>
      <c r="D205" s="110" t="s">
        <v>463</v>
      </c>
    </row>
    <row r="206" spans="1:4" x14ac:dyDescent="0.4">
      <c r="A206" s="108" t="s">
        <v>66</v>
      </c>
      <c r="B206" s="108" t="s">
        <v>107</v>
      </c>
      <c r="C206" s="109" t="s">
        <v>1218</v>
      </c>
      <c r="D206" s="110" t="s">
        <v>463</v>
      </c>
    </row>
    <row r="207" spans="1:4" x14ac:dyDescent="0.4">
      <c r="A207" s="108" t="s">
        <v>103</v>
      </c>
      <c r="B207" s="108" t="s">
        <v>93</v>
      </c>
      <c r="C207" s="109" t="s">
        <v>399</v>
      </c>
      <c r="D207" s="110" t="s">
        <v>463</v>
      </c>
    </row>
    <row r="208" spans="1:4" x14ac:dyDescent="0.4">
      <c r="A208" s="108" t="s">
        <v>199</v>
      </c>
      <c r="B208" s="108" t="s">
        <v>107</v>
      </c>
      <c r="C208" s="109" t="s">
        <v>1219</v>
      </c>
      <c r="D208" s="110" t="s">
        <v>463</v>
      </c>
    </row>
    <row r="209" spans="1:4" x14ac:dyDescent="0.4">
      <c r="A209" s="108" t="s">
        <v>65</v>
      </c>
      <c r="B209" s="108" t="s">
        <v>76</v>
      </c>
      <c r="C209" s="109" t="s">
        <v>84</v>
      </c>
      <c r="D209" s="110" t="s">
        <v>463</v>
      </c>
    </row>
    <row r="210" spans="1:4" x14ac:dyDescent="0.4">
      <c r="A210" s="108" t="s">
        <v>149</v>
      </c>
      <c r="B210" s="108" t="s">
        <v>89</v>
      </c>
      <c r="C210" s="109" t="s">
        <v>240</v>
      </c>
      <c r="D210" s="110" t="s">
        <v>463</v>
      </c>
    </row>
    <row r="211" spans="1:4" x14ac:dyDescent="0.4">
      <c r="A211" s="108" t="s">
        <v>177</v>
      </c>
      <c r="B211" s="108" t="s">
        <v>122</v>
      </c>
      <c r="C211" s="109" t="s">
        <v>84</v>
      </c>
      <c r="D211" s="110" t="s">
        <v>463</v>
      </c>
    </row>
    <row r="212" spans="1:4" x14ac:dyDescent="0.4">
      <c r="A212" s="108" t="s">
        <v>78</v>
      </c>
      <c r="B212" s="108" t="s">
        <v>142</v>
      </c>
      <c r="C212" s="109" t="s">
        <v>84</v>
      </c>
      <c r="D212" s="110" t="s">
        <v>463</v>
      </c>
    </row>
    <row r="213" spans="1:4" x14ac:dyDescent="0.4">
      <c r="A213" s="108" t="s">
        <v>100</v>
      </c>
      <c r="B213" s="108" t="s">
        <v>120</v>
      </c>
      <c r="C213" s="109" t="s">
        <v>146</v>
      </c>
      <c r="D213" s="110" t="s">
        <v>463</v>
      </c>
    </row>
    <row r="214" spans="1:4" x14ac:dyDescent="0.4">
      <c r="A214" s="108" t="s">
        <v>114</v>
      </c>
      <c r="B214" s="108" t="s">
        <v>188</v>
      </c>
      <c r="C214" s="109" t="s">
        <v>557</v>
      </c>
      <c r="D214" s="110" t="s">
        <v>463</v>
      </c>
    </row>
    <row r="215" spans="1:4" x14ac:dyDescent="0.4">
      <c r="A215" s="108" t="s">
        <v>124</v>
      </c>
      <c r="B215" s="108" t="s">
        <v>279</v>
      </c>
      <c r="C215" s="109" t="s">
        <v>257</v>
      </c>
      <c r="D215" s="110" t="s">
        <v>463</v>
      </c>
    </row>
    <row r="216" spans="1:4" x14ac:dyDescent="0.4">
      <c r="A216" s="108" t="s">
        <v>75</v>
      </c>
      <c r="B216" s="108" t="s">
        <v>96</v>
      </c>
      <c r="C216" s="109" t="s">
        <v>1220</v>
      </c>
      <c r="D216" s="110" t="s">
        <v>463</v>
      </c>
    </row>
    <row r="217" spans="1:4" x14ac:dyDescent="0.4">
      <c r="A217" s="108" t="s">
        <v>81</v>
      </c>
      <c r="B217" s="108" t="s">
        <v>120</v>
      </c>
      <c r="C217" s="109" t="s">
        <v>439</v>
      </c>
      <c r="D217" s="110" t="s">
        <v>463</v>
      </c>
    </row>
    <row r="218" spans="1:4" x14ac:dyDescent="0.4">
      <c r="A218" s="108" t="s">
        <v>204</v>
      </c>
      <c r="B218" s="108" t="s">
        <v>125</v>
      </c>
      <c r="C218" s="109" t="s">
        <v>84</v>
      </c>
      <c r="D218" s="110" t="s">
        <v>463</v>
      </c>
    </row>
    <row r="219" spans="1:4" x14ac:dyDescent="0.4">
      <c r="A219" s="108" t="s">
        <v>114</v>
      </c>
      <c r="B219" s="108" t="s">
        <v>125</v>
      </c>
      <c r="C219" s="109" t="s">
        <v>84</v>
      </c>
      <c r="D219" s="110" t="s">
        <v>463</v>
      </c>
    </row>
    <row r="220" spans="1:4" x14ac:dyDescent="0.4">
      <c r="A220" s="108" t="s">
        <v>167</v>
      </c>
      <c r="B220" s="108" t="s">
        <v>279</v>
      </c>
      <c r="C220" s="109" t="s">
        <v>193</v>
      </c>
      <c r="D220" s="110" t="s">
        <v>463</v>
      </c>
    </row>
    <row r="221" spans="1:4" x14ac:dyDescent="0.4">
      <c r="A221" s="108" t="s">
        <v>65</v>
      </c>
      <c r="B221" s="108" t="s">
        <v>106</v>
      </c>
      <c r="C221" s="109" t="s">
        <v>84</v>
      </c>
      <c r="D221" s="110" t="s">
        <v>463</v>
      </c>
    </row>
    <row r="222" spans="1:4" x14ac:dyDescent="0.4">
      <c r="A222" s="108" t="s">
        <v>108</v>
      </c>
      <c r="B222" s="108" t="s">
        <v>89</v>
      </c>
      <c r="C222" s="109" t="s">
        <v>240</v>
      </c>
      <c r="D222" s="110" t="s">
        <v>463</v>
      </c>
    </row>
    <row r="223" spans="1:4" x14ac:dyDescent="0.4">
      <c r="A223" s="108" t="s">
        <v>205</v>
      </c>
      <c r="B223" s="108" t="s">
        <v>188</v>
      </c>
      <c r="C223" s="109" t="s">
        <v>80</v>
      </c>
      <c r="D223" s="110" t="s">
        <v>463</v>
      </c>
    </row>
    <row r="224" spans="1:4" x14ac:dyDescent="0.4">
      <c r="A224" s="108" t="s">
        <v>87</v>
      </c>
      <c r="B224" s="108" t="s">
        <v>83</v>
      </c>
      <c r="C224" s="109" t="s">
        <v>1221</v>
      </c>
      <c r="D224" s="110" t="s">
        <v>463</v>
      </c>
    </row>
    <row r="225" spans="1:4" x14ac:dyDescent="0.4">
      <c r="A225" s="108" t="s">
        <v>108</v>
      </c>
      <c r="B225" s="108" t="s">
        <v>99</v>
      </c>
      <c r="C225" s="109" t="s">
        <v>240</v>
      </c>
      <c r="D225" s="110" t="s">
        <v>463</v>
      </c>
    </row>
    <row r="226" spans="1:4" x14ac:dyDescent="0.4">
      <c r="A226" s="108" t="s">
        <v>105</v>
      </c>
      <c r="B226" s="108" t="s">
        <v>89</v>
      </c>
      <c r="C226" s="109" t="s">
        <v>240</v>
      </c>
      <c r="D226" s="110" t="s">
        <v>463</v>
      </c>
    </row>
    <row r="227" spans="1:4" x14ac:dyDescent="0.4">
      <c r="A227" s="108" t="s">
        <v>167</v>
      </c>
      <c r="B227" s="108" t="s">
        <v>76</v>
      </c>
      <c r="C227" s="109" t="s">
        <v>84</v>
      </c>
      <c r="D227" s="110" t="s">
        <v>463</v>
      </c>
    </row>
    <row r="228" spans="1:4" x14ac:dyDescent="0.4">
      <c r="A228" s="108" t="s">
        <v>108</v>
      </c>
      <c r="B228" s="108" t="s">
        <v>89</v>
      </c>
      <c r="C228" s="109" t="s">
        <v>1222</v>
      </c>
      <c r="D228" s="110" t="s">
        <v>463</v>
      </c>
    </row>
    <row r="229" spans="1:4" x14ac:dyDescent="0.4">
      <c r="A229" s="108" t="s">
        <v>104</v>
      </c>
      <c r="B229" s="108" t="s">
        <v>122</v>
      </c>
      <c r="C229" s="109" t="s">
        <v>1220</v>
      </c>
      <c r="D229" s="110" t="s">
        <v>463</v>
      </c>
    </row>
    <row r="230" spans="1:4" x14ac:dyDescent="0.4">
      <c r="A230" s="108" t="s">
        <v>1171</v>
      </c>
      <c r="B230" s="108" t="s">
        <v>125</v>
      </c>
      <c r="C230" s="109" t="s">
        <v>84</v>
      </c>
      <c r="D230" s="110" t="s">
        <v>463</v>
      </c>
    </row>
    <row r="231" spans="1:4" x14ac:dyDescent="0.4">
      <c r="A231" s="108" t="s">
        <v>149</v>
      </c>
      <c r="B231" s="108" t="s">
        <v>91</v>
      </c>
      <c r="C231" s="109" t="s">
        <v>84</v>
      </c>
      <c r="D231" s="110" t="s">
        <v>463</v>
      </c>
    </row>
    <row r="232" spans="1:4" x14ac:dyDescent="0.4">
      <c r="A232" s="108" t="s">
        <v>168</v>
      </c>
      <c r="B232" s="108" t="s">
        <v>91</v>
      </c>
      <c r="C232" s="109" t="s">
        <v>84</v>
      </c>
      <c r="D232" s="110" t="s">
        <v>463</v>
      </c>
    </row>
    <row r="233" spans="1:4" x14ac:dyDescent="0.4">
      <c r="A233" s="108" t="s">
        <v>165</v>
      </c>
      <c r="B233" s="108" t="s">
        <v>125</v>
      </c>
      <c r="C233" s="109" t="s">
        <v>158</v>
      </c>
      <c r="D233" s="110" t="s">
        <v>463</v>
      </c>
    </row>
    <row r="234" spans="1:4" x14ac:dyDescent="0.4">
      <c r="A234" s="108" t="s">
        <v>100</v>
      </c>
      <c r="B234" s="108" t="s">
        <v>96</v>
      </c>
      <c r="C234" s="109" t="s">
        <v>196</v>
      </c>
      <c r="D234" s="110" t="s">
        <v>463</v>
      </c>
    </row>
    <row r="235" spans="1:4" x14ac:dyDescent="0.4">
      <c r="A235" s="108" t="s">
        <v>87</v>
      </c>
      <c r="B235" s="108" t="s">
        <v>142</v>
      </c>
      <c r="C235" s="109" t="s">
        <v>318</v>
      </c>
      <c r="D235" s="110" t="s">
        <v>463</v>
      </c>
    </row>
    <row r="236" spans="1:4" x14ac:dyDescent="0.4">
      <c r="A236" s="108" t="s">
        <v>103</v>
      </c>
      <c r="B236" s="108" t="s">
        <v>98</v>
      </c>
      <c r="C236" s="109" t="s">
        <v>1223</v>
      </c>
      <c r="D236" s="110" t="s">
        <v>463</v>
      </c>
    </row>
    <row r="237" spans="1:4" x14ac:dyDescent="0.4">
      <c r="A237" s="108" t="s">
        <v>103</v>
      </c>
      <c r="B237" s="108" t="s">
        <v>76</v>
      </c>
      <c r="C237" s="109" t="s">
        <v>84</v>
      </c>
      <c r="D237" s="110" t="s">
        <v>463</v>
      </c>
    </row>
    <row r="238" spans="1:4" x14ac:dyDescent="0.4">
      <c r="A238" s="108" t="s">
        <v>114</v>
      </c>
      <c r="B238" s="108" t="s">
        <v>120</v>
      </c>
      <c r="C238" s="109" t="s">
        <v>1216</v>
      </c>
      <c r="D238" s="110" t="s">
        <v>463</v>
      </c>
    </row>
    <row r="239" spans="1:4" x14ac:dyDescent="0.4">
      <c r="A239" s="108" t="s">
        <v>124</v>
      </c>
      <c r="B239" s="108" t="s">
        <v>85</v>
      </c>
      <c r="C239" s="109" t="s">
        <v>229</v>
      </c>
      <c r="D239" s="110" t="s">
        <v>463</v>
      </c>
    </row>
    <row r="240" spans="1:4" x14ac:dyDescent="0.4">
      <c r="A240" s="108" t="s">
        <v>165</v>
      </c>
      <c r="B240" s="108" t="s">
        <v>120</v>
      </c>
      <c r="C240" s="109" t="s">
        <v>963</v>
      </c>
      <c r="D240" s="110" t="s">
        <v>463</v>
      </c>
    </row>
    <row r="241" spans="1:4" x14ac:dyDescent="0.4">
      <c r="A241" s="108" t="s">
        <v>163</v>
      </c>
      <c r="B241" s="108" t="s">
        <v>122</v>
      </c>
      <c r="C241" s="109" t="s">
        <v>84</v>
      </c>
      <c r="D241" s="110" t="s">
        <v>463</v>
      </c>
    </row>
    <row r="242" spans="1:4" x14ac:dyDescent="0.4">
      <c r="A242" s="108" t="s">
        <v>149</v>
      </c>
      <c r="B242" s="108" t="s">
        <v>98</v>
      </c>
      <c r="C242" s="109" t="s">
        <v>443</v>
      </c>
      <c r="D242" s="110" t="s">
        <v>463</v>
      </c>
    </row>
    <row r="243" spans="1:4" x14ac:dyDescent="0.4">
      <c r="A243" s="108" t="s">
        <v>163</v>
      </c>
      <c r="B243" s="108" t="s">
        <v>89</v>
      </c>
      <c r="C243" s="109" t="s">
        <v>1213</v>
      </c>
      <c r="D243" s="110" t="s">
        <v>463</v>
      </c>
    </row>
    <row r="244" spans="1:4" x14ac:dyDescent="0.4">
      <c r="A244" s="108" t="s">
        <v>181</v>
      </c>
      <c r="B244" s="108" t="s">
        <v>134</v>
      </c>
      <c r="C244" s="109" t="s">
        <v>84</v>
      </c>
      <c r="D244" s="110" t="s">
        <v>463</v>
      </c>
    </row>
    <row r="245" spans="1:4" x14ac:dyDescent="0.4">
      <c r="A245" s="108" t="s">
        <v>163</v>
      </c>
      <c r="B245" s="108" t="s">
        <v>188</v>
      </c>
      <c r="C245" s="109" t="s">
        <v>405</v>
      </c>
      <c r="D245" s="110" t="s">
        <v>463</v>
      </c>
    </row>
    <row r="246" spans="1:4" x14ac:dyDescent="0.4">
      <c r="A246" s="108" t="s">
        <v>90</v>
      </c>
      <c r="B246" s="108" t="s">
        <v>91</v>
      </c>
      <c r="C246" s="109" t="s">
        <v>84</v>
      </c>
      <c r="D246" s="110" t="s">
        <v>463</v>
      </c>
    </row>
    <row r="247" spans="1:4" x14ac:dyDescent="0.4">
      <c r="A247" s="108" t="s">
        <v>171</v>
      </c>
      <c r="B247" s="108" t="s">
        <v>98</v>
      </c>
      <c r="C247" s="109" t="s">
        <v>1224</v>
      </c>
      <c r="D247" s="110" t="s">
        <v>463</v>
      </c>
    </row>
    <row r="248" spans="1:4" x14ac:dyDescent="0.4">
      <c r="A248" s="108" t="s">
        <v>97</v>
      </c>
      <c r="B248" s="108" t="s">
        <v>150</v>
      </c>
      <c r="C248" s="109" t="s">
        <v>904</v>
      </c>
      <c r="D248" s="110" t="s">
        <v>463</v>
      </c>
    </row>
    <row r="249" spans="1:4" x14ac:dyDescent="0.4">
      <c r="A249" s="108" t="s">
        <v>164</v>
      </c>
      <c r="B249" s="108" t="s">
        <v>107</v>
      </c>
      <c r="C249" s="109" t="s">
        <v>1225</v>
      </c>
      <c r="D249" s="110" t="s">
        <v>463</v>
      </c>
    </row>
    <row r="250" spans="1:4" x14ac:dyDescent="0.4">
      <c r="A250" s="108" t="s">
        <v>132</v>
      </c>
      <c r="B250" s="108" t="s">
        <v>122</v>
      </c>
      <c r="C250" s="109" t="s">
        <v>1226</v>
      </c>
      <c r="D250" s="110" t="s">
        <v>463</v>
      </c>
    </row>
    <row r="251" spans="1:4" x14ac:dyDescent="0.4">
      <c r="A251" s="108" t="s">
        <v>144</v>
      </c>
      <c r="B251" s="108" t="s">
        <v>83</v>
      </c>
      <c r="C251" s="109" t="s">
        <v>1227</v>
      </c>
      <c r="D251" s="110" t="s">
        <v>463</v>
      </c>
    </row>
    <row r="252" spans="1:4" x14ac:dyDescent="0.4">
      <c r="A252" s="108" t="s">
        <v>66</v>
      </c>
      <c r="B252" s="108" t="s">
        <v>122</v>
      </c>
      <c r="C252" s="109" t="s">
        <v>84</v>
      </c>
      <c r="D252" s="110" t="s">
        <v>463</v>
      </c>
    </row>
    <row r="253" spans="1:4" x14ac:dyDescent="0.4">
      <c r="A253" s="108" t="s">
        <v>167</v>
      </c>
      <c r="B253" s="108" t="s">
        <v>136</v>
      </c>
      <c r="C253" s="109" t="s">
        <v>1228</v>
      </c>
      <c r="D253" s="110" t="s">
        <v>463</v>
      </c>
    </row>
    <row r="254" spans="1:4" x14ac:dyDescent="0.4">
      <c r="A254" s="108" t="s">
        <v>1182</v>
      </c>
      <c r="B254" s="108" t="s">
        <v>93</v>
      </c>
      <c r="C254" s="109" t="s">
        <v>272</v>
      </c>
      <c r="D254" s="110" t="s">
        <v>463</v>
      </c>
    </row>
    <row r="255" spans="1:4" x14ac:dyDescent="0.4">
      <c r="A255" s="108" t="s">
        <v>104</v>
      </c>
      <c r="B255" s="108" t="s">
        <v>96</v>
      </c>
      <c r="C255" s="109" t="s">
        <v>84</v>
      </c>
      <c r="D255" s="110" t="s">
        <v>463</v>
      </c>
    </row>
    <row r="256" spans="1:4" x14ac:dyDescent="0.4">
      <c r="A256" s="108" t="s">
        <v>163</v>
      </c>
      <c r="B256" s="108" t="s">
        <v>83</v>
      </c>
      <c r="C256" s="109" t="s">
        <v>173</v>
      </c>
      <c r="D256" s="110" t="s">
        <v>463</v>
      </c>
    </row>
    <row r="257" spans="1:4" x14ac:dyDescent="0.4">
      <c r="A257" s="108" t="s">
        <v>81</v>
      </c>
      <c r="B257" s="108" t="s">
        <v>76</v>
      </c>
      <c r="C257" s="109" t="s">
        <v>84</v>
      </c>
      <c r="D257" s="110" t="s">
        <v>463</v>
      </c>
    </row>
    <row r="258" spans="1:4" x14ac:dyDescent="0.4">
      <c r="A258" s="108" t="s">
        <v>164</v>
      </c>
      <c r="B258" s="108" t="s">
        <v>83</v>
      </c>
      <c r="C258" s="109" t="s">
        <v>84</v>
      </c>
      <c r="D258" s="110" t="s">
        <v>463</v>
      </c>
    </row>
    <row r="259" spans="1:4" x14ac:dyDescent="0.4">
      <c r="A259" s="108" t="s">
        <v>104</v>
      </c>
      <c r="B259" s="108" t="s">
        <v>150</v>
      </c>
      <c r="C259" s="109" t="s">
        <v>221</v>
      </c>
      <c r="D259" s="110" t="s">
        <v>463</v>
      </c>
    </row>
    <row r="260" spans="1:4" x14ac:dyDescent="0.4">
      <c r="A260" s="108" t="s">
        <v>167</v>
      </c>
      <c r="B260" s="108" t="s">
        <v>76</v>
      </c>
      <c r="C260" s="109" t="s">
        <v>308</v>
      </c>
      <c r="D260" s="110" t="s">
        <v>463</v>
      </c>
    </row>
    <row r="261" spans="1:4" x14ac:dyDescent="0.4">
      <c r="A261" s="108" t="s">
        <v>141</v>
      </c>
      <c r="B261" s="108" t="s">
        <v>76</v>
      </c>
      <c r="C261" s="109" t="s">
        <v>84</v>
      </c>
      <c r="D261" s="110" t="s">
        <v>463</v>
      </c>
    </row>
    <row r="262" spans="1:4" x14ac:dyDescent="0.4">
      <c r="A262" s="108" t="s">
        <v>65</v>
      </c>
      <c r="B262" s="108" t="s">
        <v>130</v>
      </c>
      <c r="C262" s="109" t="s">
        <v>1229</v>
      </c>
      <c r="D262" s="110" t="s">
        <v>463</v>
      </c>
    </row>
    <row r="263" spans="1:4" x14ac:dyDescent="0.4">
      <c r="A263" s="108" t="s">
        <v>119</v>
      </c>
      <c r="B263" s="108" t="s">
        <v>120</v>
      </c>
      <c r="C263" s="109" t="s">
        <v>1230</v>
      </c>
      <c r="D263" s="110" t="s">
        <v>463</v>
      </c>
    </row>
    <row r="264" spans="1:4" x14ac:dyDescent="0.4">
      <c r="A264" s="108" t="s">
        <v>141</v>
      </c>
      <c r="B264" s="108" t="s">
        <v>96</v>
      </c>
      <c r="C264" s="109" t="s">
        <v>427</v>
      </c>
      <c r="D264" s="110" t="s">
        <v>463</v>
      </c>
    </row>
    <row r="265" spans="1:4" x14ac:dyDescent="0.4">
      <c r="A265" s="108" t="s">
        <v>149</v>
      </c>
      <c r="B265" s="108" t="s">
        <v>99</v>
      </c>
      <c r="C265" s="109" t="s">
        <v>240</v>
      </c>
      <c r="D265" s="110" t="s">
        <v>463</v>
      </c>
    </row>
    <row r="266" spans="1:4" x14ac:dyDescent="0.4">
      <c r="A266" s="108" t="s">
        <v>108</v>
      </c>
      <c r="B266" s="108" t="s">
        <v>188</v>
      </c>
      <c r="C266" s="109" t="s">
        <v>309</v>
      </c>
      <c r="D266" s="110" t="s">
        <v>463</v>
      </c>
    </row>
    <row r="267" spans="1:4" x14ac:dyDescent="0.4">
      <c r="A267" s="108" t="s">
        <v>139</v>
      </c>
      <c r="B267" s="108" t="s">
        <v>96</v>
      </c>
      <c r="C267" s="109" t="s">
        <v>419</v>
      </c>
      <c r="D267" s="110" t="s">
        <v>463</v>
      </c>
    </row>
    <row r="268" spans="1:4" x14ac:dyDescent="0.4">
      <c r="A268" s="108" t="s">
        <v>124</v>
      </c>
      <c r="B268" s="108" t="s">
        <v>83</v>
      </c>
      <c r="C268" s="109" t="s">
        <v>262</v>
      </c>
      <c r="D268" s="110" t="s">
        <v>463</v>
      </c>
    </row>
    <row r="269" spans="1:4" x14ac:dyDescent="0.4">
      <c r="A269" s="108" t="s">
        <v>141</v>
      </c>
      <c r="B269" s="108" t="s">
        <v>96</v>
      </c>
      <c r="C269" s="109" t="s">
        <v>84</v>
      </c>
      <c r="D269" s="110" t="s">
        <v>463</v>
      </c>
    </row>
    <row r="270" spans="1:4" x14ac:dyDescent="0.4">
      <c r="A270" s="108" t="s">
        <v>104</v>
      </c>
      <c r="B270" s="108" t="s">
        <v>111</v>
      </c>
      <c r="C270" s="109" t="s">
        <v>210</v>
      </c>
      <c r="D270" s="110" t="s">
        <v>463</v>
      </c>
    </row>
    <row r="271" spans="1:4" x14ac:dyDescent="0.4">
      <c r="A271" s="108" t="s">
        <v>163</v>
      </c>
      <c r="B271" s="108" t="s">
        <v>85</v>
      </c>
      <c r="C271" s="109" t="s">
        <v>303</v>
      </c>
      <c r="D271" s="110" t="s">
        <v>463</v>
      </c>
    </row>
    <row r="272" spans="1:4" x14ac:dyDescent="0.4">
      <c r="A272" s="108" t="s">
        <v>95</v>
      </c>
      <c r="B272" s="108" t="s">
        <v>107</v>
      </c>
      <c r="C272" s="109" t="s">
        <v>866</v>
      </c>
      <c r="D272" s="110" t="s">
        <v>463</v>
      </c>
    </row>
    <row r="273" spans="1:4" x14ac:dyDescent="0.4">
      <c r="A273" s="108" t="s">
        <v>152</v>
      </c>
      <c r="B273" s="108" t="s">
        <v>206</v>
      </c>
      <c r="C273" s="109" t="s">
        <v>1231</v>
      </c>
      <c r="D273" s="110" t="s">
        <v>463</v>
      </c>
    </row>
    <row r="274" spans="1:4" x14ac:dyDescent="0.4">
      <c r="A274" s="108" t="s">
        <v>181</v>
      </c>
      <c r="B274" s="108" t="s">
        <v>107</v>
      </c>
      <c r="C274" s="109" t="s">
        <v>1232</v>
      </c>
      <c r="D274" s="110" t="s">
        <v>463</v>
      </c>
    </row>
    <row r="275" spans="1:4" x14ac:dyDescent="0.4">
      <c r="A275" s="108" t="s">
        <v>103</v>
      </c>
      <c r="B275" s="108" t="s">
        <v>107</v>
      </c>
      <c r="C275" s="109" t="s">
        <v>1233</v>
      </c>
      <c r="D275" s="110" t="s">
        <v>463</v>
      </c>
    </row>
    <row r="276" spans="1:4" x14ac:dyDescent="0.4">
      <c r="A276" s="108" t="s">
        <v>90</v>
      </c>
      <c r="B276" s="108" t="s">
        <v>76</v>
      </c>
      <c r="C276" s="109" t="s">
        <v>414</v>
      </c>
      <c r="D276" s="110" t="s">
        <v>463</v>
      </c>
    </row>
    <row r="277" spans="1:4" x14ac:dyDescent="0.4">
      <c r="A277" s="108" t="s">
        <v>163</v>
      </c>
      <c r="B277" s="108" t="s">
        <v>96</v>
      </c>
      <c r="C277" s="109" t="s">
        <v>1234</v>
      </c>
      <c r="D277" s="110" t="s">
        <v>463</v>
      </c>
    </row>
    <row r="278" spans="1:4" x14ac:dyDescent="0.4">
      <c r="A278" s="108" t="s">
        <v>165</v>
      </c>
      <c r="B278" s="108" t="s">
        <v>85</v>
      </c>
      <c r="C278" s="109" t="s">
        <v>278</v>
      </c>
      <c r="D278" s="110" t="s">
        <v>463</v>
      </c>
    </row>
    <row r="279" spans="1:4" x14ac:dyDescent="0.4">
      <c r="A279" s="108" t="s">
        <v>164</v>
      </c>
      <c r="B279" s="108" t="s">
        <v>130</v>
      </c>
      <c r="C279" s="109" t="s">
        <v>1235</v>
      </c>
      <c r="D279" s="110" t="s">
        <v>463</v>
      </c>
    </row>
    <row r="280" spans="1:4" x14ac:dyDescent="0.4">
      <c r="A280" s="108" t="s">
        <v>78</v>
      </c>
      <c r="B280" s="108" t="s">
        <v>130</v>
      </c>
      <c r="C280" s="109" t="s">
        <v>442</v>
      </c>
      <c r="D280" s="110" t="s">
        <v>463</v>
      </c>
    </row>
    <row r="281" spans="1:4" x14ac:dyDescent="0.4">
      <c r="A281" s="108" t="s">
        <v>92</v>
      </c>
      <c r="B281" s="108" t="s">
        <v>142</v>
      </c>
      <c r="C281" s="109" t="s">
        <v>84</v>
      </c>
      <c r="D281" s="110" t="s">
        <v>463</v>
      </c>
    </row>
    <row r="282" spans="1:4" x14ac:dyDescent="0.4">
      <c r="A282" s="108" t="s">
        <v>119</v>
      </c>
      <c r="B282" s="108" t="s">
        <v>111</v>
      </c>
      <c r="C282" s="109" t="s">
        <v>1231</v>
      </c>
      <c r="D282" s="110" t="s">
        <v>463</v>
      </c>
    </row>
    <row r="283" spans="1:4" x14ac:dyDescent="0.4">
      <c r="A283" s="108" t="s">
        <v>152</v>
      </c>
      <c r="B283" s="108" t="s">
        <v>142</v>
      </c>
      <c r="C283" s="109" t="s">
        <v>185</v>
      </c>
      <c r="D283" s="110" t="s">
        <v>463</v>
      </c>
    </row>
    <row r="284" spans="1:4" x14ac:dyDescent="0.4">
      <c r="A284" s="108" t="s">
        <v>178</v>
      </c>
      <c r="B284" s="108" t="s">
        <v>122</v>
      </c>
      <c r="C284" s="109" t="s">
        <v>84</v>
      </c>
      <c r="D284" s="110" t="s">
        <v>463</v>
      </c>
    </row>
    <row r="285" spans="1:4" x14ac:dyDescent="0.4">
      <c r="A285" s="108" t="s">
        <v>127</v>
      </c>
      <c r="B285" s="108" t="s">
        <v>96</v>
      </c>
      <c r="C285" s="109" t="s">
        <v>266</v>
      </c>
      <c r="D285" s="110" t="s">
        <v>463</v>
      </c>
    </row>
    <row r="286" spans="1:4" x14ac:dyDescent="0.4">
      <c r="A286" s="108" t="s">
        <v>141</v>
      </c>
      <c r="B286" s="108" t="s">
        <v>126</v>
      </c>
      <c r="C286" s="109" t="s">
        <v>302</v>
      </c>
      <c r="D286" s="110" t="s">
        <v>463</v>
      </c>
    </row>
    <row r="287" spans="1:4" x14ac:dyDescent="0.4">
      <c r="A287" s="108" t="s">
        <v>65</v>
      </c>
      <c r="B287" s="108" t="s">
        <v>83</v>
      </c>
      <c r="C287" s="109" t="s">
        <v>888</v>
      </c>
      <c r="D287" s="110" t="s">
        <v>463</v>
      </c>
    </row>
    <row r="288" spans="1:4" x14ac:dyDescent="0.4">
      <c r="A288" s="108" t="s">
        <v>66</v>
      </c>
      <c r="B288" s="108" t="s">
        <v>125</v>
      </c>
      <c r="C288" s="109" t="s">
        <v>217</v>
      </c>
      <c r="D288" s="110" t="s">
        <v>463</v>
      </c>
    </row>
    <row r="289" spans="1:4" x14ac:dyDescent="0.4">
      <c r="A289" s="108" t="s">
        <v>129</v>
      </c>
      <c r="B289" s="108" t="s">
        <v>125</v>
      </c>
      <c r="C289" s="109" t="s">
        <v>84</v>
      </c>
      <c r="D289" s="110" t="s">
        <v>463</v>
      </c>
    </row>
    <row r="290" spans="1:4" x14ac:dyDescent="0.4">
      <c r="A290" s="108" t="s">
        <v>171</v>
      </c>
      <c r="B290" s="108" t="s">
        <v>93</v>
      </c>
      <c r="C290" s="109" t="s">
        <v>436</v>
      </c>
      <c r="D290" s="110" t="s">
        <v>463</v>
      </c>
    </row>
    <row r="291" spans="1:4" x14ac:dyDescent="0.4">
      <c r="A291" s="108" t="s">
        <v>219</v>
      </c>
      <c r="B291" s="108" t="s">
        <v>96</v>
      </c>
      <c r="C291" s="109" t="s">
        <v>84</v>
      </c>
      <c r="D291" s="110" t="s">
        <v>463</v>
      </c>
    </row>
    <row r="292" spans="1:4" x14ac:dyDescent="0.4">
      <c r="A292" s="108" t="s">
        <v>167</v>
      </c>
      <c r="B292" s="108" t="s">
        <v>91</v>
      </c>
      <c r="C292" s="109" t="s">
        <v>84</v>
      </c>
      <c r="D292" s="110" t="s">
        <v>463</v>
      </c>
    </row>
    <row r="293" spans="1:4" x14ac:dyDescent="0.4">
      <c r="A293" s="108" t="s">
        <v>1171</v>
      </c>
      <c r="B293" s="108" t="s">
        <v>188</v>
      </c>
      <c r="C293" s="109" t="s">
        <v>133</v>
      </c>
      <c r="D293" s="110" t="s">
        <v>463</v>
      </c>
    </row>
    <row r="294" spans="1:4" x14ac:dyDescent="0.4">
      <c r="A294" s="108" t="s">
        <v>171</v>
      </c>
      <c r="B294" s="108" t="s">
        <v>136</v>
      </c>
      <c r="C294" s="109" t="s">
        <v>650</v>
      </c>
      <c r="D294" s="110" t="s">
        <v>463</v>
      </c>
    </row>
    <row r="295" spans="1:4" x14ac:dyDescent="0.4">
      <c r="A295" s="108" t="s">
        <v>104</v>
      </c>
      <c r="B295" s="108" t="s">
        <v>96</v>
      </c>
      <c r="C295" s="109" t="s">
        <v>1236</v>
      </c>
      <c r="D295" s="110" t="s">
        <v>463</v>
      </c>
    </row>
    <row r="296" spans="1:4" x14ac:dyDescent="0.4">
      <c r="A296" s="108" t="s">
        <v>124</v>
      </c>
      <c r="B296" s="108" t="s">
        <v>142</v>
      </c>
      <c r="C296" s="109" t="s">
        <v>1237</v>
      </c>
      <c r="D296" s="110" t="s">
        <v>463</v>
      </c>
    </row>
    <row r="297" spans="1:4" x14ac:dyDescent="0.4">
      <c r="A297" s="108" t="s">
        <v>81</v>
      </c>
      <c r="B297" s="108" t="s">
        <v>126</v>
      </c>
      <c r="C297" s="109" t="s">
        <v>1238</v>
      </c>
      <c r="D297" s="110" t="s">
        <v>463</v>
      </c>
    </row>
    <row r="298" spans="1:4" x14ac:dyDescent="0.4">
      <c r="A298" s="108" t="s">
        <v>164</v>
      </c>
      <c r="B298" s="108" t="s">
        <v>122</v>
      </c>
      <c r="C298" s="109" t="s">
        <v>84</v>
      </c>
      <c r="D298" s="110" t="s">
        <v>463</v>
      </c>
    </row>
    <row r="299" spans="1:4" x14ac:dyDescent="0.4">
      <c r="A299" s="108" t="s">
        <v>223</v>
      </c>
      <c r="B299" s="108" t="s">
        <v>85</v>
      </c>
      <c r="C299" s="109" t="s">
        <v>209</v>
      </c>
      <c r="D299" s="110" t="s">
        <v>463</v>
      </c>
    </row>
    <row r="300" spans="1:4" x14ac:dyDescent="0.4">
      <c r="A300" s="108" t="s">
        <v>66</v>
      </c>
      <c r="B300" s="108" t="s">
        <v>83</v>
      </c>
      <c r="C300" s="109" t="s">
        <v>1239</v>
      </c>
      <c r="D300" s="110" t="s">
        <v>463</v>
      </c>
    </row>
    <row r="301" spans="1:4" x14ac:dyDescent="0.4">
      <c r="A301" s="108" t="s">
        <v>139</v>
      </c>
      <c r="B301" s="108" t="s">
        <v>125</v>
      </c>
      <c r="C301" s="109" t="s">
        <v>569</v>
      </c>
      <c r="D301" s="110" t="s">
        <v>463</v>
      </c>
    </row>
    <row r="302" spans="1:4" x14ac:dyDescent="0.4">
      <c r="A302" s="108" t="s">
        <v>92</v>
      </c>
      <c r="B302" s="108" t="s">
        <v>76</v>
      </c>
      <c r="C302" s="109" t="s">
        <v>307</v>
      </c>
      <c r="D302" s="110" t="s">
        <v>463</v>
      </c>
    </row>
    <row r="303" spans="1:4" x14ac:dyDescent="0.4">
      <c r="A303" s="108" t="s">
        <v>81</v>
      </c>
      <c r="B303" s="108" t="s">
        <v>125</v>
      </c>
      <c r="C303" s="109" t="s">
        <v>84</v>
      </c>
      <c r="D303" s="110" t="s">
        <v>463</v>
      </c>
    </row>
    <row r="304" spans="1:4" x14ac:dyDescent="0.4">
      <c r="A304" s="108" t="s">
        <v>149</v>
      </c>
      <c r="B304" s="108" t="s">
        <v>85</v>
      </c>
      <c r="C304" s="109" t="s">
        <v>1219</v>
      </c>
      <c r="D304" s="110" t="s">
        <v>463</v>
      </c>
    </row>
    <row r="305" spans="1:4" x14ac:dyDescent="0.4">
      <c r="A305" s="108" t="s">
        <v>152</v>
      </c>
      <c r="B305" s="108" t="s">
        <v>125</v>
      </c>
      <c r="C305" s="109" t="s">
        <v>845</v>
      </c>
      <c r="D305" s="110" t="s">
        <v>463</v>
      </c>
    </row>
    <row r="306" spans="1:4" x14ac:dyDescent="0.4">
      <c r="A306" s="108" t="s">
        <v>167</v>
      </c>
      <c r="B306" s="108" t="s">
        <v>106</v>
      </c>
      <c r="C306" s="109" t="s">
        <v>84</v>
      </c>
      <c r="D306" s="110" t="s">
        <v>463</v>
      </c>
    </row>
    <row r="307" spans="1:4" x14ac:dyDescent="0.4">
      <c r="A307" s="108" t="s">
        <v>202</v>
      </c>
      <c r="B307" s="108" t="s">
        <v>76</v>
      </c>
      <c r="C307" s="109" t="s">
        <v>84</v>
      </c>
      <c r="D307" s="110" t="s">
        <v>463</v>
      </c>
    </row>
    <row r="308" spans="1:4" x14ac:dyDescent="0.4">
      <c r="A308" s="108" t="s">
        <v>104</v>
      </c>
      <c r="B308" s="108" t="s">
        <v>85</v>
      </c>
      <c r="C308" s="109" t="s">
        <v>264</v>
      </c>
      <c r="D308" s="110" t="s">
        <v>463</v>
      </c>
    </row>
    <row r="309" spans="1:4" x14ac:dyDescent="0.4">
      <c r="A309" s="108" t="s">
        <v>178</v>
      </c>
      <c r="B309" s="108" t="s">
        <v>120</v>
      </c>
      <c r="C309" s="109" t="s">
        <v>409</v>
      </c>
      <c r="D309" s="110" t="s">
        <v>463</v>
      </c>
    </row>
    <row r="310" spans="1:4" x14ac:dyDescent="0.4">
      <c r="A310" s="108" t="s">
        <v>78</v>
      </c>
      <c r="B310" s="108" t="s">
        <v>85</v>
      </c>
      <c r="C310" s="109" t="s">
        <v>1240</v>
      </c>
      <c r="D310" s="110" t="s">
        <v>463</v>
      </c>
    </row>
    <row r="311" spans="1:4" x14ac:dyDescent="0.4">
      <c r="A311" s="108" t="s">
        <v>152</v>
      </c>
      <c r="B311" s="108" t="s">
        <v>91</v>
      </c>
      <c r="C311" s="109" t="s">
        <v>84</v>
      </c>
      <c r="D311" s="110" t="s">
        <v>463</v>
      </c>
    </row>
    <row r="312" spans="1:4" x14ac:dyDescent="0.4">
      <c r="A312" s="108" t="s">
        <v>177</v>
      </c>
      <c r="B312" s="108" t="s">
        <v>126</v>
      </c>
      <c r="C312" s="109" t="s">
        <v>384</v>
      </c>
      <c r="D312" s="110" t="s">
        <v>463</v>
      </c>
    </row>
    <row r="313" spans="1:4" x14ac:dyDescent="0.4">
      <c r="A313" s="108" t="s">
        <v>167</v>
      </c>
      <c r="B313" s="108" t="s">
        <v>96</v>
      </c>
      <c r="C313" s="109" t="s">
        <v>1241</v>
      </c>
      <c r="D313" s="110" t="s">
        <v>463</v>
      </c>
    </row>
    <row r="314" spans="1:4" x14ac:dyDescent="0.4">
      <c r="A314" s="108" t="s">
        <v>95</v>
      </c>
      <c r="B314" s="108" t="s">
        <v>125</v>
      </c>
      <c r="C314" s="109" t="s">
        <v>444</v>
      </c>
      <c r="D314" s="110" t="s">
        <v>463</v>
      </c>
    </row>
    <row r="315" spans="1:4" x14ac:dyDescent="0.4">
      <c r="A315" s="108" t="s">
        <v>317</v>
      </c>
      <c r="B315" s="108" t="s">
        <v>91</v>
      </c>
      <c r="C315" s="109" t="s">
        <v>84</v>
      </c>
      <c r="D315" s="110" t="s">
        <v>463</v>
      </c>
    </row>
    <row r="316" spans="1:4" x14ac:dyDescent="0.4">
      <c r="A316" s="108" t="s">
        <v>127</v>
      </c>
      <c r="B316" s="108" t="s">
        <v>115</v>
      </c>
      <c r="C316" s="109" t="s">
        <v>267</v>
      </c>
      <c r="D316" s="110" t="s">
        <v>463</v>
      </c>
    </row>
    <row r="317" spans="1:4" x14ac:dyDescent="0.4">
      <c r="A317" s="108" t="s">
        <v>100</v>
      </c>
      <c r="B317" s="108" t="s">
        <v>150</v>
      </c>
      <c r="C317" s="109" t="s">
        <v>162</v>
      </c>
      <c r="D317" s="110" t="s">
        <v>463</v>
      </c>
    </row>
    <row r="318" spans="1:4" x14ac:dyDescent="0.4">
      <c r="A318" s="108" t="s">
        <v>139</v>
      </c>
      <c r="B318" s="108" t="s">
        <v>130</v>
      </c>
      <c r="C318" s="109" t="s">
        <v>886</v>
      </c>
      <c r="D318" s="110" t="s">
        <v>463</v>
      </c>
    </row>
    <row r="319" spans="1:4" x14ac:dyDescent="0.4">
      <c r="A319" s="108" t="s">
        <v>110</v>
      </c>
      <c r="B319" s="108" t="s">
        <v>85</v>
      </c>
      <c r="C319" s="109" t="s">
        <v>426</v>
      </c>
      <c r="D319" s="110" t="s">
        <v>463</v>
      </c>
    </row>
    <row r="320" spans="1:4" x14ac:dyDescent="0.4">
      <c r="A320" s="108" t="s">
        <v>171</v>
      </c>
      <c r="B320" s="108" t="s">
        <v>120</v>
      </c>
      <c r="C320" s="109" t="s">
        <v>425</v>
      </c>
      <c r="D320" s="110" t="s">
        <v>463</v>
      </c>
    </row>
    <row r="321" spans="1:4" x14ac:dyDescent="0.4">
      <c r="A321" s="108" t="s">
        <v>144</v>
      </c>
      <c r="B321" s="108" t="s">
        <v>153</v>
      </c>
      <c r="C321" s="109" t="s">
        <v>449</v>
      </c>
      <c r="D321" s="110" t="s">
        <v>463</v>
      </c>
    </row>
    <row r="322" spans="1:4" x14ac:dyDescent="0.4">
      <c r="A322" s="108" t="s">
        <v>163</v>
      </c>
      <c r="B322" s="108" t="s">
        <v>125</v>
      </c>
      <c r="C322" s="109" t="s">
        <v>84</v>
      </c>
      <c r="D322" s="110" t="s">
        <v>463</v>
      </c>
    </row>
    <row r="323" spans="1:4" x14ac:dyDescent="0.4">
      <c r="A323" s="108" t="s">
        <v>223</v>
      </c>
      <c r="B323" s="108" t="s">
        <v>136</v>
      </c>
      <c r="C323" s="109" t="s">
        <v>1242</v>
      </c>
      <c r="D323" s="110" t="s">
        <v>463</v>
      </c>
    </row>
    <row r="324" spans="1:4" x14ac:dyDescent="0.4">
      <c r="A324" s="108" t="s">
        <v>97</v>
      </c>
      <c r="B324" s="108" t="s">
        <v>96</v>
      </c>
      <c r="C324" s="109" t="s">
        <v>77</v>
      </c>
      <c r="D324" s="110" t="s">
        <v>463</v>
      </c>
    </row>
    <row r="325" spans="1:4" x14ac:dyDescent="0.4">
      <c r="A325" s="108" t="s">
        <v>95</v>
      </c>
      <c r="B325" s="108" t="s">
        <v>134</v>
      </c>
      <c r="C325" s="109" t="s">
        <v>84</v>
      </c>
      <c r="D325" s="110" t="s">
        <v>463</v>
      </c>
    </row>
    <row r="326" spans="1:4" x14ac:dyDescent="0.4">
      <c r="A326" s="108" t="s">
        <v>171</v>
      </c>
      <c r="B326" s="108" t="s">
        <v>125</v>
      </c>
      <c r="C326" s="109" t="s">
        <v>1243</v>
      </c>
      <c r="D326" s="110" t="s">
        <v>463</v>
      </c>
    </row>
    <row r="327" spans="1:4" x14ac:dyDescent="0.4">
      <c r="A327" s="108" t="s">
        <v>124</v>
      </c>
      <c r="B327" s="108" t="s">
        <v>111</v>
      </c>
      <c r="C327" s="109" t="s">
        <v>140</v>
      </c>
      <c r="D327" s="110" t="s">
        <v>463</v>
      </c>
    </row>
    <row r="328" spans="1:4" x14ac:dyDescent="0.4">
      <c r="A328" s="108" t="s">
        <v>152</v>
      </c>
      <c r="B328" s="108" t="s">
        <v>134</v>
      </c>
      <c r="C328" s="109" t="s">
        <v>412</v>
      </c>
      <c r="D328" s="110" t="s">
        <v>463</v>
      </c>
    </row>
    <row r="329" spans="1:4" x14ac:dyDescent="0.4">
      <c r="A329" s="108" t="s">
        <v>104</v>
      </c>
      <c r="B329" s="108" t="s">
        <v>101</v>
      </c>
      <c r="C329" s="109" t="s">
        <v>927</v>
      </c>
      <c r="D329" s="110" t="s">
        <v>463</v>
      </c>
    </row>
    <row r="330" spans="1:4" x14ac:dyDescent="0.4">
      <c r="A330" s="108" t="s">
        <v>168</v>
      </c>
      <c r="B330" s="108" t="s">
        <v>125</v>
      </c>
      <c r="C330" s="109" t="s">
        <v>84</v>
      </c>
      <c r="D330" s="110" t="s">
        <v>463</v>
      </c>
    </row>
    <row r="331" spans="1:4" x14ac:dyDescent="0.4">
      <c r="A331" s="108" t="s">
        <v>139</v>
      </c>
      <c r="B331" s="108" t="s">
        <v>126</v>
      </c>
      <c r="C331" s="109" t="s">
        <v>1244</v>
      </c>
      <c r="D331" s="110" t="s">
        <v>463</v>
      </c>
    </row>
    <row r="332" spans="1:4" x14ac:dyDescent="0.4">
      <c r="A332" s="108" t="s">
        <v>104</v>
      </c>
      <c r="B332" s="108" t="s">
        <v>136</v>
      </c>
      <c r="C332" s="109" t="s">
        <v>276</v>
      </c>
      <c r="D332" s="110" t="s">
        <v>463</v>
      </c>
    </row>
    <row r="333" spans="1:4" x14ac:dyDescent="0.4">
      <c r="A333" s="108" t="s">
        <v>87</v>
      </c>
      <c r="B333" s="108" t="s">
        <v>91</v>
      </c>
      <c r="C333" s="109" t="s">
        <v>84</v>
      </c>
      <c r="D333" s="110" t="s">
        <v>463</v>
      </c>
    </row>
    <row r="334" spans="1:4" x14ac:dyDescent="0.4">
      <c r="A334" s="108" t="s">
        <v>66</v>
      </c>
      <c r="B334" s="108" t="s">
        <v>93</v>
      </c>
      <c r="C334" s="109" t="s">
        <v>1203</v>
      </c>
      <c r="D334" s="110" t="s">
        <v>463</v>
      </c>
    </row>
    <row r="335" spans="1:4" x14ac:dyDescent="0.4">
      <c r="A335" s="108" t="s">
        <v>105</v>
      </c>
      <c r="B335" s="108" t="s">
        <v>174</v>
      </c>
      <c r="C335" s="109" t="s">
        <v>1239</v>
      </c>
      <c r="D335" s="110" t="s">
        <v>463</v>
      </c>
    </row>
    <row r="336" spans="1:4" x14ac:dyDescent="0.4">
      <c r="A336" s="108" t="s">
        <v>92</v>
      </c>
      <c r="B336" s="108" t="s">
        <v>107</v>
      </c>
      <c r="C336" s="109" t="s">
        <v>1162</v>
      </c>
      <c r="D336" s="110" t="s">
        <v>463</v>
      </c>
    </row>
    <row r="337" spans="1:4" x14ac:dyDescent="0.4">
      <c r="A337" s="108" t="s">
        <v>1171</v>
      </c>
      <c r="B337" s="108" t="s">
        <v>98</v>
      </c>
      <c r="C337" s="109" t="s">
        <v>113</v>
      </c>
      <c r="D337" s="110" t="s">
        <v>463</v>
      </c>
    </row>
    <row r="338" spans="1:4" x14ac:dyDescent="0.4">
      <c r="A338" s="108" t="s">
        <v>152</v>
      </c>
      <c r="B338" s="108" t="s">
        <v>76</v>
      </c>
      <c r="C338" s="109" t="s">
        <v>412</v>
      </c>
      <c r="D338" s="110" t="s">
        <v>463</v>
      </c>
    </row>
    <row r="339" spans="1:4" x14ac:dyDescent="0.4">
      <c r="A339" s="108" t="s">
        <v>187</v>
      </c>
      <c r="B339" s="108" t="s">
        <v>231</v>
      </c>
      <c r="C339" s="109" t="s">
        <v>449</v>
      </c>
      <c r="D339" s="110" t="s">
        <v>463</v>
      </c>
    </row>
    <row r="340" spans="1:4" x14ac:dyDescent="0.4">
      <c r="A340" s="108" t="s">
        <v>149</v>
      </c>
      <c r="B340" s="108" t="s">
        <v>125</v>
      </c>
      <c r="C340" s="109" t="s">
        <v>84</v>
      </c>
      <c r="D340" s="110" t="s">
        <v>463</v>
      </c>
    </row>
    <row r="341" spans="1:4" x14ac:dyDescent="0.4">
      <c r="A341" s="108" t="s">
        <v>164</v>
      </c>
      <c r="B341" s="108" t="s">
        <v>134</v>
      </c>
      <c r="C341" s="109" t="s">
        <v>84</v>
      </c>
      <c r="D341" s="110" t="s">
        <v>463</v>
      </c>
    </row>
    <row r="342" spans="1:4" x14ac:dyDescent="0.4">
      <c r="A342" s="108" t="s">
        <v>87</v>
      </c>
      <c r="B342" s="108" t="s">
        <v>122</v>
      </c>
      <c r="C342" s="109" t="s">
        <v>84</v>
      </c>
      <c r="D342" s="110" t="s">
        <v>463</v>
      </c>
    </row>
    <row r="343" spans="1:4" x14ac:dyDescent="0.4">
      <c r="A343" s="108" t="s">
        <v>159</v>
      </c>
      <c r="B343" s="108" t="s">
        <v>99</v>
      </c>
      <c r="C343" s="109" t="s">
        <v>1245</v>
      </c>
      <c r="D343" s="110" t="s">
        <v>463</v>
      </c>
    </row>
    <row r="344" spans="1:4" x14ac:dyDescent="0.4">
      <c r="A344" s="108" t="s">
        <v>1246</v>
      </c>
      <c r="B344" s="108" t="s">
        <v>96</v>
      </c>
      <c r="C344" s="109" t="s">
        <v>1247</v>
      </c>
      <c r="D344" s="110" t="s">
        <v>463</v>
      </c>
    </row>
    <row r="345" spans="1:4" x14ac:dyDescent="0.4">
      <c r="A345" s="108" t="s">
        <v>100</v>
      </c>
      <c r="B345" s="108" t="s">
        <v>134</v>
      </c>
      <c r="C345" s="109" t="s">
        <v>285</v>
      </c>
      <c r="D345" s="110" t="s">
        <v>463</v>
      </c>
    </row>
    <row r="346" spans="1:4" x14ac:dyDescent="0.4">
      <c r="A346" s="108" t="s">
        <v>90</v>
      </c>
      <c r="B346" s="108" t="s">
        <v>122</v>
      </c>
      <c r="C346" s="109" t="s">
        <v>84</v>
      </c>
      <c r="D346" s="110" t="s">
        <v>463</v>
      </c>
    </row>
    <row r="347" spans="1:4" x14ac:dyDescent="0.4">
      <c r="A347" s="108" t="s">
        <v>249</v>
      </c>
      <c r="B347" s="108" t="s">
        <v>125</v>
      </c>
      <c r="C347" s="109" t="s">
        <v>84</v>
      </c>
      <c r="D347" s="110" t="s">
        <v>463</v>
      </c>
    </row>
    <row r="348" spans="1:4" x14ac:dyDescent="0.4">
      <c r="A348" s="108" t="s">
        <v>141</v>
      </c>
      <c r="B348" s="108" t="s">
        <v>134</v>
      </c>
      <c r="C348" s="109" t="s">
        <v>1048</v>
      </c>
      <c r="D348" s="110" t="s">
        <v>463</v>
      </c>
    </row>
    <row r="349" spans="1:4" x14ac:dyDescent="0.4">
      <c r="A349" s="108" t="s">
        <v>100</v>
      </c>
      <c r="B349" s="108" t="s">
        <v>153</v>
      </c>
      <c r="C349" s="109" t="s">
        <v>449</v>
      </c>
      <c r="D349" s="110" t="s">
        <v>463</v>
      </c>
    </row>
    <row r="350" spans="1:4" x14ac:dyDescent="0.4">
      <c r="A350" s="108" t="s">
        <v>105</v>
      </c>
      <c r="B350" s="108" t="s">
        <v>157</v>
      </c>
      <c r="C350" s="109" t="s">
        <v>1248</v>
      </c>
      <c r="D350" s="110" t="s">
        <v>463</v>
      </c>
    </row>
    <row r="351" spans="1:4" x14ac:dyDescent="0.4">
      <c r="A351" s="108" t="s">
        <v>202</v>
      </c>
      <c r="B351" s="108" t="s">
        <v>184</v>
      </c>
      <c r="C351" s="109" t="s">
        <v>300</v>
      </c>
      <c r="D351" s="110" t="s">
        <v>463</v>
      </c>
    </row>
    <row r="352" spans="1:4" x14ac:dyDescent="0.4">
      <c r="A352" s="108" t="s">
        <v>90</v>
      </c>
      <c r="B352" s="108" t="s">
        <v>76</v>
      </c>
      <c r="C352" s="109" t="s">
        <v>84</v>
      </c>
      <c r="D352" s="110" t="s">
        <v>463</v>
      </c>
    </row>
    <row r="353" spans="1:4" x14ac:dyDescent="0.4">
      <c r="A353" s="108" t="s">
        <v>163</v>
      </c>
      <c r="B353" s="108" t="s">
        <v>134</v>
      </c>
      <c r="C353" s="109" t="s">
        <v>293</v>
      </c>
      <c r="D353" s="110" t="s">
        <v>463</v>
      </c>
    </row>
    <row r="354" spans="1:4" x14ac:dyDescent="0.4">
      <c r="A354" s="108" t="s">
        <v>171</v>
      </c>
      <c r="B354" s="108" t="s">
        <v>91</v>
      </c>
      <c r="C354" s="109" t="s">
        <v>84</v>
      </c>
      <c r="D354" s="110" t="s">
        <v>463</v>
      </c>
    </row>
    <row r="355" spans="1:4" x14ac:dyDescent="0.4">
      <c r="A355" s="108" t="s">
        <v>81</v>
      </c>
      <c r="B355" s="108" t="s">
        <v>134</v>
      </c>
      <c r="C355" s="109" t="s">
        <v>248</v>
      </c>
      <c r="D355" s="110" t="s">
        <v>463</v>
      </c>
    </row>
    <row r="356" spans="1:4" x14ac:dyDescent="0.4">
      <c r="A356" s="108" t="s">
        <v>165</v>
      </c>
      <c r="B356" s="108" t="s">
        <v>134</v>
      </c>
      <c r="C356" s="109" t="s">
        <v>238</v>
      </c>
      <c r="D356" s="110" t="s">
        <v>463</v>
      </c>
    </row>
    <row r="357" spans="1:4" x14ac:dyDescent="0.4">
      <c r="A357" s="108" t="s">
        <v>178</v>
      </c>
      <c r="B357" s="108" t="s">
        <v>145</v>
      </c>
      <c r="C357" s="109" t="s">
        <v>1249</v>
      </c>
      <c r="D357" s="110" t="s">
        <v>463</v>
      </c>
    </row>
    <row r="358" spans="1:4" x14ac:dyDescent="0.4">
      <c r="A358" s="108" t="s">
        <v>117</v>
      </c>
      <c r="B358" s="108" t="s">
        <v>98</v>
      </c>
      <c r="C358" s="109" t="s">
        <v>148</v>
      </c>
      <c r="D358" s="110" t="s">
        <v>463</v>
      </c>
    </row>
    <row r="359" spans="1:4" x14ac:dyDescent="0.4">
      <c r="A359" s="108" t="s">
        <v>149</v>
      </c>
      <c r="B359" s="108" t="s">
        <v>93</v>
      </c>
      <c r="C359" s="109" t="s">
        <v>1250</v>
      </c>
      <c r="D359" s="110" t="s">
        <v>463</v>
      </c>
    </row>
    <row r="360" spans="1:4" x14ac:dyDescent="0.4">
      <c r="A360" s="108" t="s">
        <v>119</v>
      </c>
      <c r="B360" s="108" t="s">
        <v>125</v>
      </c>
      <c r="C360" s="109" t="s">
        <v>84</v>
      </c>
      <c r="D360" s="110" t="s">
        <v>463</v>
      </c>
    </row>
    <row r="361" spans="1:4" x14ac:dyDescent="0.4">
      <c r="A361" s="108" t="s">
        <v>163</v>
      </c>
      <c r="B361" s="108" t="s">
        <v>98</v>
      </c>
      <c r="C361" s="109" t="s">
        <v>652</v>
      </c>
      <c r="D361" s="110" t="s">
        <v>463</v>
      </c>
    </row>
    <row r="362" spans="1:4" x14ac:dyDescent="0.4">
      <c r="A362" s="108" t="s">
        <v>1182</v>
      </c>
      <c r="B362" s="108" t="s">
        <v>76</v>
      </c>
      <c r="C362" s="109" t="s">
        <v>84</v>
      </c>
      <c r="D362" s="110" t="s">
        <v>463</v>
      </c>
    </row>
    <row r="363" spans="1:4" x14ac:dyDescent="0.4">
      <c r="A363" s="108" t="s">
        <v>124</v>
      </c>
      <c r="B363" s="108" t="s">
        <v>98</v>
      </c>
      <c r="C363" s="109" t="s">
        <v>147</v>
      </c>
      <c r="D363" s="110" t="s">
        <v>463</v>
      </c>
    </row>
    <row r="364" spans="1:4" x14ac:dyDescent="0.4">
      <c r="A364" s="108" t="s">
        <v>65</v>
      </c>
      <c r="B364" s="108" t="s">
        <v>76</v>
      </c>
      <c r="C364" s="109" t="s">
        <v>1251</v>
      </c>
      <c r="D364" s="110" t="s">
        <v>463</v>
      </c>
    </row>
    <row r="365" spans="1:4" x14ac:dyDescent="0.4">
      <c r="A365" s="108" t="s">
        <v>108</v>
      </c>
      <c r="B365" s="108" t="s">
        <v>184</v>
      </c>
      <c r="C365" s="109" t="s">
        <v>300</v>
      </c>
      <c r="D365" s="110" t="s">
        <v>463</v>
      </c>
    </row>
    <row r="366" spans="1:4" x14ac:dyDescent="0.4">
      <c r="A366" s="108" t="s">
        <v>141</v>
      </c>
      <c r="B366" s="108" t="s">
        <v>130</v>
      </c>
      <c r="C366" s="109" t="s">
        <v>443</v>
      </c>
      <c r="D366" s="110" t="s">
        <v>463</v>
      </c>
    </row>
    <row r="367" spans="1:4" x14ac:dyDescent="0.4">
      <c r="A367" s="108" t="s">
        <v>103</v>
      </c>
      <c r="B367" s="108" t="s">
        <v>125</v>
      </c>
      <c r="C367" s="109" t="s">
        <v>84</v>
      </c>
      <c r="D367" s="110" t="s">
        <v>463</v>
      </c>
    </row>
    <row r="368" spans="1:4" x14ac:dyDescent="0.4">
      <c r="A368" s="108" t="s">
        <v>108</v>
      </c>
      <c r="B368" s="108" t="s">
        <v>122</v>
      </c>
      <c r="C368" s="109" t="s">
        <v>194</v>
      </c>
      <c r="D368" s="110" t="s">
        <v>463</v>
      </c>
    </row>
    <row r="369" spans="1:4" x14ac:dyDescent="0.4">
      <c r="A369" s="108" t="s">
        <v>78</v>
      </c>
      <c r="B369" s="108" t="s">
        <v>83</v>
      </c>
      <c r="C369" s="109" t="s">
        <v>1252</v>
      </c>
      <c r="D369" s="110" t="s">
        <v>463</v>
      </c>
    </row>
    <row r="370" spans="1:4" x14ac:dyDescent="0.4">
      <c r="A370" s="108" t="s">
        <v>139</v>
      </c>
      <c r="B370" s="108" t="s">
        <v>122</v>
      </c>
      <c r="C370" s="109" t="s">
        <v>84</v>
      </c>
      <c r="D370" s="110" t="s">
        <v>463</v>
      </c>
    </row>
    <row r="371" spans="1:4" x14ac:dyDescent="0.4">
      <c r="A371" s="108" t="s">
        <v>202</v>
      </c>
      <c r="B371" s="108" t="s">
        <v>125</v>
      </c>
      <c r="C371" s="109" t="s">
        <v>549</v>
      </c>
      <c r="D371" s="110" t="s">
        <v>463</v>
      </c>
    </row>
    <row r="372" spans="1:4" x14ac:dyDescent="0.4">
      <c r="A372" s="108" t="s">
        <v>104</v>
      </c>
      <c r="B372" s="108" t="s">
        <v>142</v>
      </c>
      <c r="C372" s="109" t="s">
        <v>84</v>
      </c>
      <c r="D372" s="110" t="s">
        <v>463</v>
      </c>
    </row>
    <row r="373" spans="1:4" x14ac:dyDescent="0.4">
      <c r="A373" s="108" t="s">
        <v>97</v>
      </c>
      <c r="B373" s="108" t="s">
        <v>188</v>
      </c>
      <c r="C373" s="109" t="s">
        <v>555</v>
      </c>
      <c r="D373" s="110" t="s">
        <v>463</v>
      </c>
    </row>
    <row r="374" spans="1:4" x14ac:dyDescent="0.4">
      <c r="A374" s="108" t="s">
        <v>1171</v>
      </c>
      <c r="B374" s="108" t="s">
        <v>130</v>
      </c>
      <c r="C374" s="109" t="s">
        <v>216</v>
      </c>
      <c r="D374" s="110" t="s">
        <v>463</v>
      </c>
    </row>
    <row r="375" spans="1:4" x14ac:dyDescent="0.4">
      <c r="A375" s="108" t="s">
        <v>90</v>
      </c>
      <c r="B375" s="108" t="s">
        <v>98</v>
      </c>
      <c r="C375" s="109" t="s">
        <v>1253</v>
      </c>
      <c r="D375" s="110" t="s">
        <v>463</v>
      </c>
    </row>
    <row r="376" spans="1:4" x14ac:dyDescent="0.4">
      <c r="A376" s="108" t="s">
        <v>114</v>
      </c>
      <c r="B376" s="108" t="s">
        <v>98</v>
      </c>
      <c r="C376" s="109" t="s">
        <v>1254</v>
      </c>
      <c r="D376" s="110" t="s">
        <v>463</v>
      </c>
    </row>
    <row r="377" spans="1:4" x14ac:dyDescent="0.4">
      <c r="A377" s="108" t="s">
        <v>103</v>
      </c>
      <c r="B377" s="108" t="s">
        <v>130</v>
      </c>
      <c r="C377" s="109" t="s">
        <v>1255</v>
      </c>
      <c r="D377" s="110" t="s">
        <v>463</v>
      </c>
    </row>
    <row r="378" spans="1:4" x14ac:dyDescent="0.4">
      <c r="A378" s="108" t="s">
        <v>167</v>
      </c>
      <c r="B378" s="108" t="s">
        <v>85</v>
      </c>
      <c r="C378" s="109" t="s">
        <v>383</v>
      </c>
      <c r="D378" s="110" t="s">
        <v>463</v>
      </c>
    </row>
    <row r="379" spans="1:4" x14ac:dyDescent="0.4">
      <c r="A379" s="108" t="s">
        <v>219</v>
      </c>
      <c r="B379" s="108" t="s">
        <v>122</v>
      </c>
      <c r="C379" s="109" t="s">
        <v>84</v>
      </c>
      <c r="D379" s="110" t="s">
        <v>463</v>
      </c>
    </row>
    <row r="380" spans="1:4" x14ac:dyDescent="0.4">
      <c r="A380" s="108" t="s">
        <v>104</v>
      </c>
      <c r="B380" s="108" t="s">
        <v>91</v>
      </c>
      <c r="C380" s="109" t="s">
        <v>84</v>
      </c>
      <c r="D380" s="110" t="s">
        <v>463</v>
      </c>
    </row>
    <row r="381" spans="1:4" x14ac:dyDescent="0.4">
      <c r="A381" s="108" t="s">
        <v>127</v>
      </c>
      <c r="B381" s="108" t="s">
        <v>111</v>
      </c>
      <c r="C381" s="109" t="s">
        <v>1256</v>
      </c>
      <c r="D381" s="110" t="s">
        <v>463</v>
      </c>
    </row>
    <row r="382" spans="1:4" x14ac:dyDescent="0.4">
      <c r="A382" s="108" t="s">
        <v>164</v>
      </c>
      <c r="B382" s="108" t="s">
        <v>125</v>
      </c>
      <c r="C382" s="109" t="s">
        <v>1257</v>
      </c>
      <c r="D382" s="110" t="s">
        <v>463</v>
      </c>
    </row>
    <row r="383" spans="1:4" x14ac:dyDescent="0.4">
      <c r="A383" s="108" t="s">
        <v>127</v>
      </c>
      <c r="B383" s="108" t="s">
        <v>93</v>
      </c>
      <c r="C383" s="109" t="s">
        <v>286</v>
      </c>
      <c r="D383" s="110" t="s">
        <v>463</v>
      </c>
    </row>
    <row r="384" spans="1:4" x14ac:dyDescent="0.4">
      <c r="A384" s="108" t="s">
        <v>95</v>
      </c>
      <c r="B384" s="108" t="s">
        <v>98</v>
      </c>
      <c r="C384" s="109" t="s">
        <v>1258</v>
      </c>
      <c r="D384" s="110" t="s">
        <v>463</v>
      </c>
    </row>
    <row r="385" spans="1:4" x14ac:dyDescent="0.4">
      <c r="A385" s="108" t="s">
        <v>181</v>
      </c>
      <c r="B385" s="108" t="s">
        <v>83</v>
      </c>
      <c r="C385" s="109" t="s">
        <v>867</v>
      </c>
      <c r="D385" s="110" t="s">
        <v>463</v>
      </c>
    </row>
    <row r="386" spans="1:4" x14ac:dyDescent="0.4">
      <c r="A386" s="108" t="s">
        <v>144</v>
      </c>
      <c r="B386" s="108" t="s">
        <v>99</v>
      </c>
      <c r="C386" s="109" t="s">
        <v>240</v>
      </c>
      <c r="D386" s="110" t="s">
        <v>463</v>
      </c>
    </row>
    <row r="387" spans="1:4" x14ac:dyDescent="0.4">
      <c r="A387" s="108" t="s">
        <v>171</v>
      </c>
      <c r="B387" s="108" t="s">
        <v>96</v>
      </c>
      <c r="C387" s="109" t="s">
        <v>1259</v>
      </c>
      <c r="D387" s="110" t="s">
        <v>463</v>
      </c>
    </row>
    <row r="388" spans="1:4" x14ac:dyDescent="0.4">
      <c r="A388" s="108" t="s">
        <v>75</v>
      </c>
      <c r="B388" s="108" t="s">
        <v>134</v>
      </c>
      <c r="C388" s="109" t="s">
        <v>1260</v>
      </c>
      <c r="D388" s="110" t="s">
        <v>463</v>
      </c>
    </row>
    <row r="389" spans="1:4" x14ac:dyDescent="0.4">
      <c r="A389" s="108" t="s">
        <v>149</v>
      </c>
      <c r="B389" s="108" t="s">
        <v>96</v>
      </c>
      <c r="C389" s="109" t="s">
        <v>1261</v>
      </c>
      <c r="D389" s="110" t="s">
        <v>463</v>
      </c>
    </row>
    <row r="390" spans="1:4" x14ac:dyDescent="0.4">
      <c r="A390" s="108" t="s">
        <v>163</v>
      </c>
      <c r="B390" s="108" t="s">
        <v>130</v>
      </c>
      <c r="C390" s="109" t="s">
        <v>214</v>
      </c>
      <c r="D390" s="110" t="s">
        <v>463</v>
      </c>
    </row>
    <row r="391" spans="1:4" x14ac:dyDescent="0.4">
      <c r="A391" s="108" t="s">
        <v>119</v>
      </c>
      <c r="B391" s="108" t="s">
        <v>142</v>
      </c>
      <c r="C391" s="109" t="s">
        <v>80</v>
      </c>
      <c r="D391" s="110" t="s">
        <v>463</v>
      </c>
    </row>
    <row r="392" spans="1:4" x14ac:dyDescent="0.4">
      <c r="A392" s="108" t="s">
        <v>141</v>
      </c>
      <c r="B392" s="108" t="s">
        <v>122</v>
      </c>
      <c r="C392" s="109" t="s">
        <v>84</v>
      </c>
      <c r="D392" s="110" t="s">
        <v>463</v>
      </c>
    </row>
    <row r="393" spans="1:4" x14ac:dyDescent="0.4">
      <c r="A393" s="108" t="s">
        <v>104</v>
      </c>
      <c r="B393" s="108" t="s">
        <v>93</v>
      </c>
      <c r="C393" s="109" t="s">
        <v>390</v>
      </c>
      <c r="D393" s="110" t="s">
        <v>463</v>
      </c>
    </row>
    <row r="394" spans="1:4" x14ac:dyDescent="0.4">
      <c r="A394" s="108" t="s">
        <v>204</v>
      </c>
      <c r="B394" s="108" t="s">
        <v>89</v>
      </c>
      <c r="C394" s="109" t="s">
        <v>240</v>
      </c>
      <c r="D394" s="110" t="s">
        <v>463</v>
      </c>
    </row>
    <row r="395" spans="1:4" x14ac:dyDescent="0.4">
      <c r="A395" s="108" t="s">
        <v>108</v>
      </c>
      <c r="B395" s="108" t="s">
        <v>106</v>
      </c>
      <c r="C395" s="109" t="s">
        <v>84</v>
      </c>
      <c r="D395" s="110" t="s">
        <v>463</v>
      </c>
    </row>
    <row r="396" spans="1:4" x14ac:dyDescent="0.4">
      <c r="A396" s="108" t="s">
        <v>75</v>
      </c>
      <c r="B396" s="108" t="s">
        <v>125</v>
      </c>
      <c r="C396" s="109" t="s">
        <v>257</v>
      </c>
      <c r="D396" s="110" t="s">
        <v>463</v>
      </c>
    </row>
    <row r="397" spans="1:4" x14ac:dyDescent="0.4">
      <c r="A397" s="108" t="s">
        <v>159</v>
      </c>
      <c r="B397" s="108" t="s">
        <v>96</v>
      </c>
      <c r="C397" s="109" t="s">
        <v>1262</v>
      </c>
      <c r="D397" s="110" t="s">
        <v>463</v>
      </c>
    </row>
    <row r="398" spans="1:4" x14ac:dyDescent="0.4">
      <c r="A398" s="108" t="s">
        <v>181</v>
      </c>
      <c r="B398" s="108" t="s">
        <v>136</v>
      </c>
      <c r="C398" s="109" t="s">
        <v>432</v>
      </c>
      <c r="D398" s="110" t="s">
        <v>463</v>
      </c>
    </row>
    <row r="399" spans="1:4" x14ac:dyDescent="0.4">
      <c r="A399" s="108" t="s">
        <v>78</v>
      </c>
      <c r="B399" s="108" t="s">
        <v>125</v>
      </c>
      <c r="C399" s="109" t="s">
        <v>247</v>
      </c>
      <c r="D399" s="110" t="s">
        <v>463</v>
      </c>
    </row>
    <row r="400" spans="1:4" x14ac:dyDescent="0.4">
      <c r="A400" s="108" t="s">
        <v>1182</v>
      </c>
      <c r="B400" s="108" t="s">
        <v>107</v>
      </c>
      <c r="C400" s="109" t="s">
        <v>1263</v>
      </c>
      <c r="D400" s="110" t="s">
        <v>463</v>
      </c>
    </row>
    <row r="401" spans="1:4" x14ac:dyDescent="0.4">
      <c r="A401" s="108" t="s">
        <v>67</v>
      </c>
      <c r="B401" s="108" t="s">
        <v>93</v>
      </c>
      <c r="C401" s="109" t="s">
        <v>113</v>
      </c>
      <c r="D401" s="110" t="s">
        <v>463</v>
      </c>
    </row>
    <row r="402" spans="1:4" x14ac:dyDescent="0.4">
      <c r="A402" s="108" t="s">
        <v>163</v>
      </c>
      <c r="B402" s="108" t="s">
        <v>188</v>
      </c>
      <c r="C402" s="109" t="s">
        <v>313</v>
      </c>
      <c r="D402" s="110" t="s">
        <v>463</v>
      </c>
    </row>
    <row r="403" spans="1:4" x14ac:dyDescent="0.4">
      <c r="A403" s="108" t="s">
        <v>105</v>
      </c>
      <c r="B403" s="108" t="s">
        <v>241</v>
      </c>
      <c r="C403" s="109" t="s">
        <v>176</v>
      </c>
      <c r="D403" s="110" t="s">
        <v>463</v>
      </c>
    </row>
    <row r="404" spans="1:4" x14ac:dyDescent="0.4">
      <c r="A404" s="108" t="s">
        <v>139</v>
      </c>
      <c r="B404" s="108" t="s">
        <v>115</v>
      </c>
      <c r="C404" s="109" t="s">
        <v>1264</v>
      </c>
      <c r="D404" s="110" t="s">
        <v>463</v>
      </c>
    </row>
    <row r="405" spans="1:4" x14ac:dyDescent="0.4">
      <c r="A405" s="108" t="s">
        <v>149</v>
      </c>
      <c r="B405" s="108" t="s">
        <v>142</v>
      </c>
      <c r="C405" s="109" t="s">
        <v>541</v>
      </c>
      <c r="D405" s="110" t="s">
        <v>463</v>
      </c>
    </row>
    <row r="406" spans="1:4" x14ac:dyDescent="0.4">
      <c r="A406" s="108" t="s">
        <v>67</v>
      </c>
      <c r="B406" s="108" t="s">
        <v>125</v>
      </c>
      <c r="C406" s="109" t="s">
        <v>84</v>
      </c>
      <c r="D406" s="110" t="s">
        <v>463</v>
      </c>
    </row>
    <row r="407" spans="1:4" x14ac:dyDescent="0.4">
      <c r="A407" s="108" t="s">
        <v>129</v>
      </c>
      <c r="B407" s="108" t="s">
        <v>89</v>
      </c>
      <c r="C407" s="109" t="s">
        <v>449</v>
      </c>
      <c r="D407" s="110" t="s">
        <v>463</v>
      </c>
    </row>
    <row r="408" spans="1:4" x14ac:dyDescent="0.4">
      <c r="A408" s="108" t="s">
        <v>90</v>
      </c>
      <c r="B408" s="108" t="s">
        <v>93</v>
      </c>
      <c r="C408" s="109" t="s">
        <v>1265</v>
      </c>
      <c r="D408" s="110" t="s">
        <v>463</v>
      </c>
    </row>
    <row r="409" spans="1:4" x14ac:dyDescent="0.4">
      <c r="A409" s="108" t="s">
        <v>186</v>
      </c>
      <c r="B409" s="108" t="s">
        <v>89</v>
      </c>
      <c r="C409" s="109" t="s">
        <v>449</v>
      </c>
      <c r="D409" s="110" t="s">
        <v>463</v>
      </c>
    </row>
    <row r="410" spans="1:4" x14ac:dyDescent="0.4">
      <c r="A410" s="108" t="s">
        <v>139</v>
      </c>
      <c r="B410" s="108" t="s">
        <v>91</v>
      </c>
      <c r="C410" s="109" t="s">
        <v>84</v>
      </c>
      <c r="D410" s="110" t="s">
        <v>463</v>
      </c>
    </row>
    <row r="411" spans="1:4" x14ac:dyDescent="0.4">
      <c r="A411" s="108" t="s">
        <v>178</v>
      </c>
      <c r="B411" s="108" t="s">
        <v>85</v>
      </c>
      <c r="C411" s="109" t="s">
        <v>448</v>
      </c>
      <c r="D411" s="110" t="s">
        <v>463</v>
      </c>
    </row>
    <row r="412" spans="1:4" x14ac:dyDescent="0.4">
      <c r="A412" s="108" t="s">
        <v>164</v>
      </c>
      <c r="B412" s="108" t="s">
        <v>91</v>
      </c>
      <c r="C412" s="109" t="s">
        <v>84</v>
      </c>
      <c r="D412" s="110" t="s">
        <v>463</v>
      </c>
    </row>
    <row r="413" spans="1:4" x14ac:dyDescent="0.4">
      <c r="A413" s="108" t="s">
        <v>108</v>
      </c>
      <c r="B413" s="108" t="s">
        <v>128</v>
      </c>
      <c r="C413" s="109" t="s">
        <v>1266</v>
      </c>
      <c r="D413" s="110" t="s">
        <v>463</v>
      </c>
    </row>
    <row r="414" spans="1:4" x14ac:dyDescent="0.4">
      <c r="A414" s="108" t="s">
        <v>152</v>
      </c>
      <c r="B414" s="108" t="s">
        <v>153</v>
      </c>
      <c r="C414" s="109" t="s">
        <v>240</v>
      </c>
      <c r="D414" s="110" t="s">
        <v>463</v>
      </c>
    </row>
    <row r="415" spans="1:4" x14ac:dyDescent="0.4">
      <c r="A415" s="108" t="s">
        <v>95</v>
      </c>
      <c r="B415" s="108" t="s">
        <v>130</v>
      </c>
      <c r="C415" s="109" t="s">
        <v>1267</v>
      </c>
      <c r="D415" s="110" t="s">
        <v>463</v>
      </c>
    </row>
    <row r="416" spans="1:4" x14ac:dyDescent="0.4">
      <c r="A416" s="108" t="s">
        <v>165</v>
      </c>
      <c r="B416" s="108" t="s">
        <v>188</v>
      </c>
      <c r="C416" s="109" t="s">
        <v>1268</v>
      </c>
      <c r="D416" s="110" t="s">
        <v>463</v>
      </c>
    </row>
    <row r="417" spans="1:4" x14ac:dyDescent="0.4">
      <c r="A417" s="108" t="s">
        <v>132</v>
      </c>
      <c r="B417" s="108" t="s">
        <v>136</v>
      </c>
      <c r="C417" s="109" t="s">
        <v>1187</v>
      </c>
      <c r="D417" s="110" t="s">
        <v>463</v>
      </c>
    </row>
    <row r="418" spans="1:4" x14ac:dyDescent="0.4">
      <c r="A418" s="108" t="s">
        <v>124</v>
      </c>
      <c r="B418" s="108" t="s">
        <v>125</v>
      </c>
      <c r="C418" s="109" t="s">
        <v>1237</v>
      </c>
      <c r="D418" s="110" t="s">
        <v>463</v>
      </c>
    </row>
    <row r="419" spans="1:4" x14ac:dyDescent="0.4">
      <c r="A419" s="108" t="s">
        <v>81</v>
      </c>
      <c r="B419" s="108" t="s">
        <v>123</v>
      </c>
      <c r="C419" s="109" t="s">
        <v>428</v>
      </c>
      <c r="D419" s="110" t="s">
        <v>463</v>
      </c>
    </row>
    <row r="420" spans="1:4" x14ac:dyDescent="0.4">
      <c r="A420" s="108" t="s">
        <v>187</v>
      </c>
      <c r="B420" s="108" t="s">
        <v>125</v>
      </c>
      <c r="C420" s="109" t="s">
        <v>84</v>
      </c>
      <c r="D420" s="110" t="s">
        <v>463</v>
      </c>
    </row>
    <row r="421" spans="1:4" x14ac:dyDescent="0.4">
      <c r="A421" s="108" t="s">
        <v>108</v>
      </c>
      <c r="B421" s="108" t="s">
        <v>83</v>
      </c>
      <c r="C421" s="109" t="s">
        <v>84</v>
      </c>
      <c r="D421" s="110" t="s">
        <v>463</v>
      </c>
    </row>
    <row r="422" spans="1:4" x14ac:dyDescent="0.4">
      <c r="A422" s="108" t="s">
        <v>163</v>
      </c>
      <c r="B422" s="108" t="s">
        <v>76</v>
      </c>
      <c r="C422" s="109" t="s">
        <v>1269</v>
      </c>
      <c r="D422" s="110" t="s">
        <v>463</v>
      </c>
    </row>
    <row r="423" spans="1:4" x14ac:dyDescent="0.4">
      <c r="A423" s="108" t="s">
        <v>124</v>
      </c>
      <c r="B423" s="108" t="s">
        <v>96</v>
      </c>
      <c r="C423" s="109" t="s">
        <v>176</v>
      </c>
      <c r="D423" s="110" t="s">
        <v>463</v>
      </c>
    </row>
    <row r="424" spans="1:4" x14ac:dyDescent="0.4">
      <c r="A424" s="108" t="s">
        <v>66</v>
      </c>
      <c r="B424" s="108" t="s">
        <v>126</v>
      </c>
      <c r="C424" s="109" t="s">
        <v>296</v>
      </c>
      <c r="D424" s="110" t="s">
        <v>463</v>
      </c>
    </row>
    <row r="425" spans="1:4" x14ac:dyDescent="0.4">
      <c r="A425" s="108" t="s">
        <v>105</v>
      </c>
      <c r="B425" s="108" t="s">
        <v>91</v>
      </c>
      <c r="C425" s="109" t="s">
        <v>84</v>
      </c>
      <c r="D425" s="110" t="s">
        <v>463</v>
      </c>
    </row>
    <row r="426" spans="1:4" x14ac:dyDescent="0.4">
      <c r="A426" s="108" t="s">
        <v>181</v>
      </c>
      <c r="B426" s="108" t="s">
        <v>130</v>
      </c>
      <c r="C426" s="109" t="s">
        <v>225</v>
      </c>
      <c r="D426" s="110" t="s">
        <v>463</v>
      </c>
    </row>
    <row r="427" spans="1:4" x14ac:dyDescent="0.4">
      <c r="A427" s="108" t="s">
        <v>163</v>
      </c>
      <c r="B427" s="108" t="s">
        <v>107</v>
      </c>
      <c r="C427" s="109" t="s">
        <v>1270</v>
      </c>
      <c r="D427" s="110" t="s">
        <v>463</v>
      </c>
    </row>
    <row r="428" spans="1:4" x14ac:dyDescent="0.4">
      <c r="A428" s="108" t="s">
        <v>117</v>
      </c>
      <c r="B428" s="108" t="s">
        <v>125</v>
      </c>
      <c r="C428" s="109" t="s">
        <v>84</v>
      </c>
      <c r="D428" s="110" t="s">
        <v>463</v>
      </c>
    </row>
    <row r="429" spans="1:4" x14ac:dyDescent="0.4">
      <c r="A429" s="108" t="s">
        <v>149</v>
      </c>
      <c r="B429" s="108" t="s">
        <v>145</v>
      </c>
      <c r="C429" s="109" t="s">
        <v>1170</v>
      </c>
      <c r="D429" s="110" t="s">
        <v>463</v>
      </c>
    </row>
    <row r="430" spans="1:4" x14ac:dyDescent="0.4">
      <c r="A430" s="108" t="s">
        <v>92</v>
      </c>
      <c r="B430" s="108" t="s">
        <v>136</v>
      </c>
      <c r="C430" s="109" t="s">
        <v>1271</v>
      </c>
      <c r="D430" s="110" t="s">
        <v>463</v>
      </c>
    </row>
    <row r="431" spans="1:4" x14ac:dyDescent="0.4">
      <c r="A431" s="108" t="s">
        <v>152</v>
      </c>
      <c r="B431" s="108" t="s">
        <v>188</v>
      </c>
      <c r="C431" s="109" t="s">
        <v>116</v>
      </c>
      <c r="D431" s="110" t="s">
        <v>463</v>
      </c>
    </row>
    <row r="432" spans="1:4" x14ac:dyDescent="0.4">
      <c r="A432" s="108" t="s">
        <v>108</v>
      </c>
      <c r="B432" s="108" t="s">
        <v>106</v>
      </c>
      <c r="C432" s="109" t="s">
        <v>254</v>
      </c>
      <c r="D432" s="110" t="s">
        <v>463</v>
      </c>
    </row>
    <row r="433" spans="1:4" x14ac:dyDescent="0.4">
      <c r="A433" s="108" t="s">
        <v>100</v>
      </c>
      <c r="B433" s="108" t="s">
        <v>134</v>
      </c>
      <c r="C433" s="109" t="s">
        <v>84</v>
      </c>
      <c r="D433" s="110" t="s">
        <v>463</v>
      </c>
    </row>
    <row r="434" spans="1:4" x14ac:dyDescent="0.4">
      <c r="A434" s="108" t="s">
        <v>78</v>
      </c>
      <c r="B434" s="108" t="s">
        <v>96</v>
      </c>
      <c r="C434" s="109" t="s">
        <v>1272</v>
      </c>
      <c r="D434" s="110" t="s">
        <v>463</v>
      </c>
    </row>
    <row r="435" spans="1:4" x14ac:dyDescent="0.4">
      <c r="A435" s="108" t="s">
        <v>104</v>
      </c>
      <c r="B435" s="108" t="s">
        <v>98</v>
      </c>
      <c r="C435" s="109" t="s">
        <v>143</v>
      </c>
      <c r="D435" s="110" t="s">
        <v>463</v>
      </c>
    </row>
    <row r="436" spans="1:4" x14ac:dyDescent="0.4">
      <c r="A436" s="108" t="s">
        <v>165</v>
      </c>
      <c r="B436" s="108" t="s">
        <v>83</v>
      </c>
      <c r="C436" s="109" t="s">
        <v>267</v>
      </c>
      <c r="D436" s="110" t="s">
        <v>463</v>
      </c>
    </row>
    <row r="437" spans="1:4" x14ac:dyDescent="0.4">
      <c r="A437" s="108" t="s">
        <v>100</v>
      </c>
      <c r="B437" s="108" t="s">
        <v>98</v>
      </c>
      <c r="C437" s="109" t="s">
        <v>311</v>
      </c>
      <c r="D437" s="110" t="s">
        <v>463</v>
      </c>
    </row>
    <row r="438" spans="1:4" x14ac:dyDescent="0.4">
      <c r="A438" s="108" t="s">
        <v>187</v>
      </c>
      <c r="B438" s="108" t="s">
        <v>89</v>
      </c>
      <c r="C438" s="109" t="s">
        <v>449</v>
      </c>
      <c r="D438" s="110" t="s">
        <v>463</v>
      </c>
    </row>
    <row r="439" spans="1:4" x14ac:dyDescent="0.4">
      <c r="A439" s="108" t="s">
        <v>108</v>
      </c>
      <c r="B439" s="108" t="s">
        <v>96</v>
      </c>
      <c r="C439" s="109" t="s">
        <v>84</v>
      </c>
      <c r="D439" s="110" t="s">
        <v>463</v>
      </c>
    </row>
    <row r="440" spans="1:4" x14ac:dyDescent="0.4">
      <c r="A440" s="108" t="s">
        <v>65</v>
      </c>
      <c r="B440" s="108" t="s">
        <v>188</v>
      </c>
      <c r="C440" s="109" t="s">
        <v>845</v>
      </c>
      <c r="D440" s="110" t="s">
        <v>463</v>
      </c>
    </row>
    <row r="441" spans="1:4" x14ac:dyDescent="0.4">
      <c r="A441" s="108" t="s">
        <v>178</v>
      </c>
      <c r="B441" s="108" t="s">
        <v>89</v>
      </c>
      <c r="C441" s="109" t="s">
        <v>1249</v>
      </c>
      <c r="D441" s="110" t="s">
        <v>463</v>
      </c>
    </row>
    <row r="442" spans="1:4" x14ac:dyDescent="0.4">
      <c r="A442" s="108" t="s">
        <v>199</v>
      </c>
      <c r="B442" s="108" t="s">
        <v>130</v>
      </c>
      <c r="C442" s="109" t="s">
        <v>258</v>
      </c>
      <c r="D442" s="110" t="s">
        <v>463</v>
      </c>
    </row>
    <row r="443" spans="1:4" x14ac:dyDescent="0.4">
      <c r="A443" s="108" t="s">
        <v>167</v>
      </c>
      <c r="B443" s="108" t="s">
        <v>93</v>
      </c>
      <c r="C443" s="109" t="s">
        <v>1273</v>
      </c>
      <c r="D443" s="110" t="s">
        <v>463</v>
      </c>
    </row>
    <row r="444" spans="1:4" x14ac:dyDescent="0.4">
      <c r="A444" s="108" t="s">
        <v>167</v>
      </c>
      <c r="B444" s="108" t="s">
        <v>83</v>
      </c>
      <c r="C444" s="109" t="s">
        <v>1274</v>
      </c>
      <c r="D444" s="110" t="s">
        <v>463</v>
      </c>
    </row>
    <row r="445" spans="1:4" x14ac:dyDescent="0.4">
      <c r="A445" s="108" t="s">
        <v>199</v>
      </c>
      <c r="B445" s="108" t="s">
        <v>76</v>
      </c>
      <c r="C445" s="109" t="s">
        <v>84</v>
      </c>
      <c r="D445" s="110" t="s">
        <v>463</v>
      </c>
    </row>
    <row r="446" spans="1:4" x14ac:dyDescent="0.4">
      <c r="A446" s="108" t="s">
        <v>95</v>
      </c>
      <c r="B446" s="108" t="s">
        <v>93</v>
      </c>
      <c r="C446" s="109" t="s">
        <v>282</v>
      </c>
      <c r="D446" s="110" t="s">
        <v>463</v>
      </c>
    </row>
    <row r="447" spans="1:4" x14ac:dyDescent="0.4">
      <c r="A447" s="108" t="s">
        <v>164</v>
      </c>
      <c r="B447" s="108" t="s">
        <v>101</v>
      </c>
      <c r="C447" s="109" t="s">
        <v>1275</v>
      </c>
      <c r="D447" s="110" t="s">
        <v>463</v>
      </c>
    </row>
    <row r="448" spans="1:4" x14ac:dyDescent="0.4">
      <c r="A448" s="108" t="s">
        <v>105</v>
      </c>
      <c r="B448" s="108" t="s">
        <v>98</v>
      </c>
      <c r="C448" s="109" t="s">
        <v>381</v>
      </c>
      <c r="D448" s="110" t="s">
        <v>463</v>
      </c>
    </row>
    <row r="449" spans="1:4" x14ac:dyDescent="0.4">
      <c r="A449" s="108" t="s">
        <v>117</v>
      </c>
      <c r="B449" s="108" t="s">
        <v>120</v>
      </c>
      <c r="C449" s="109" t="s">
        <v>297</v>
      </c>
      <c r="D449" s="110" t="s">
        <v>463</v>
      </c>
    </row>
    <row r="450" spans="1:4" x14ac:dyDescent="0.4">
      <c r="A450" s="108" t="s">
        <v>108</v>
      </c>
      <c r="B450" s="108" t="s">
        <v>111</v>
      </c>
      <c r="C450" s="109" t="s">
        <v>1276</v>
      </c>
      <c r="D450" s="110" t="s">
        <v>463</v>
      </c>
    </row>
    <row r="451" spans="1:4" x14ac:dyDescent="0.4">
      <c r="A451" s="108" t="s">
        <v>117</v>
      </c>
      <c r="B451" s="108" t="s">
        <v>106</v>
      </c>
      <c r="C451" s="109" t="s">
        <v>84</v>
      </c>
      <c r="D451" s="110" t="s">
        <v>463</v>
      </c>
    </row>
    <row r="452" spans="1:4" x14ac:dyDescent="0.4">
      <c r="A452" s="108" t="s">
        <v>149</v>
      </c>
      <c r="B452" s="108" t="s">
        <v>89</v>
      </c>
      <c r="C452" s="109" t="s">
        <v>1277</v>
      </c>
      <c r="D452" s="110" t="s">
        <v>463</v>
      </c>
    </row>
    <row r="453" spans="1:4" x14ac:dyDescent="0.4">
      <c r="A453" s="108" t="s">
        <v>81</v>
      </c>
      <c r="B453" s="108" t="s">
        <v>184</v>
      </c>
      <c r="C453" s="109" t="s">
        <v>300</v>
      </c>
      <c r="D453" s="110" t="s">
        <v>463</v>
      </c>
    </row>
    <row r="454" spans="1:4" x14ac:dyDescent="0.4">
      <c r="A454" s="108" t="s">
        <v>124</v>
      </c>
      <c r="B454" s="108" t="s">
        <v>93</v>
      </c>
      <c r="C454" s="109" t="s">
        <v>251</v>
      </c>
      <c r="D454" s="110" t="s">
        <v>463</v>
      </c>
    </row>
    <row r="455" spans="1:4" x14ac:dyDescent="0.4">
      <c r="A455" s="108" t="s">
        <v>97</v>
      </c>
      <c r="B455" s="108" t="s">
        <v>126</v>
      </c>
      <c r="C455" s="109" t="s">
        <v>1278</v>
      </c>
      <c r="D455" s="110" t="s">
        <v>463</v>
      </c>
    </row>
    <row r="456" spans="1:4" x14ac:dyDescent="0.4">
      <c r="A456" s="108" t="s">
        <v>199</v>
      </c>
      <c r="B456" s="108" t="s">
        <v>98</v>
      </c>
      <c r="C456" s="109" t="s">
        <v>209</v>
      </c>
      <c r="D456" s="110" t="s">
        <v>463</v>
      </c>
    </row>
    <row r="457" spans="1:4" x14ac:dyDescent="0.4">
      <c r="A457" s="108" t="s">
        <v>139</v>
      </c>
      <c r="B457" s="108" t="s">
        <v>145</v>
      </c>
      <c r="C457" s="109" t="s">
        <v>1180</v>
      </c>
      <c r="D457" s="110" t="s">
        <v>463</v>
      </c>
    </row>
    <row r="458" spans="1:4" x14ac:dyDescent="0.4">
      <c r="A458" s="108" t="s">
        <v>164</v>
      </c>
      <c r="B458" s="108" t="s">
        <v>111</v>
      </c>
      <c r="C458" s="109" t="s">
        <v>1279</v>
      </c>
      <c r="D458" s="110" t="s">
        <v>463</v>
      </c>
    </row>
    <row r="459" spans="1:4" x14ac:dyDescent="0.4">
      <c r="A459" s="108" t="s">
        <v>119</v>
      </c>
      <c r="B459" s="108" t="s">
        <v>106</v>
      </c>
      <c r="C459" s="109" t="s">
        <v>84</v>
      </c>
      <c r="D459" s="110" t="s">
        <v>463</v>
      </c>
    </row>
    <row r="460" spans="1:4" x14ac:dyDescent="0.4">
      <c r="A460" s="108" t="s">
        <v>108</v>
      </c>
      <c r="B460" s="108" t="s">
        <v>188</v>
      </c>
      <c r="C460" s="109" t="s">
        <v>255</v>
      </c>
      <c r="D460" s="110" t="s">
        <v>463</v>
      </c>
    </row>
    <row r="461" spans="1:4" x14ac:dyDescent="0.4">
      <c r="A461" s="108" t="s">
        <v>129</v>
      </c>
      <c r="B461" s="108" t="s">
        <v>153</v>
      </c>
      <c r="C461" s="109" t="s">
        <v>1170</v>
      </c>
      <c r="D461" s="110" t="s">
        <v>463</v>
      </c>
    </row>
    <row r="462" spans="1:4" x14ac:dyDescent="0.4">
      <c r="A462" s="108" t="s">
        <v>105</v>
      </c>
      <c r="B462" s="108" t="s">
        <v>125</v>
      </c>
      <c r="C462" s="109" t="s">
        <v>1280</v>
      </c>
      <c r="D462" s="110" t="s">
        <v>463</v>
      </c>
    </row>
    <row r="463" spans="1:4" x14ac:dyDescent="0.4">
      <c r="A463" s="108" t="s">
        <v>178</v>
      </c>
      <c r="B463" s="108" t="s">
        <v>83</v>
      </c>
      <c r="C463" s="109" t="s">
        <v>1281</v>
      </c>
      <c r="D463" s="110" t="s">
        <v>463</v>
      </c>
    </row>
    <row r="464" spans="1:4" x14ac:dyDescent="0.4">
      <c r="A464" s="108" t="s">
        <v>152</v>
      </c>
      <c r="B464" s="108" t="s">
        <v>96</v>
      </c>
      <c r="C464" s="109" t="s">
        <v>310</v>
      </c>
      <c r="D464" s="110" t="s">
        <v>463</v>
      </c>
    </row>
    <row r="465" spans="1:4" x14ac:dyDescent="0.4">
      <c r="A465" s="108" t="s">
        <v>66</v>
      </c>
      <c r="B465" s="108" t="s">
        <v>142</v>
      </c>
      <c r="C465" s="109" t="s">
        <v>1282</v>
      </c>
      <c r="D465" s="110" t="s">
        <v>463</v>
      </c>
    </row>
    <row r="466" spans="1:4" x14ac:dyDescent="0.4">
      <c r="A466" s="108" t="s">
        <v>104</v>
      </c>
      <c r="B466" s="108" t="s">
        <v>76</v>
      </c>
      <c r="C466" s="109" t="s">
        <v>84</v>
      </c>
      <c r="D466" s="110" t="s">
        <v>463</v>
      </c>
    </row>
    <row r="467" spans="1:4" x14ac:dyDescent="0.4">
      <c r="A467" s="108" t="s">
        <v>97</v>
      </c>
      <c r="B467" s="108" t="s">
        <v>142</v>
      </c>
      <c r="C467" s="109" t="s">
        <v>84</v>
      </c>
      <c r="D467" s="110" t="s">
        <v>463</v>
      </c>
    </row>
    <row r="468" spans="1:4" x14ac:dyDescent="0.4">
      <c r="A468" s="108" t="s">
        <v>219</v>
      </c>
      <c r="B468" s="108" t="s">
        <v>76</v>
      </c>
      <c r="C468" s="109" t="s">
        <v>84</v>
      </c>
      <c r="D468" s="110" t="s">
        <v>463</v>
      </c>
    </row>
    <row r="469" spans="1:4" x14ac:dyDescent="0.4">
      <c r="A469" s="108" t="s">
        <v>127</v>
      </c>
      <c r="B469" s="108" t="s">
        <v>126</v>
      </c>
      <c r="C469" s="109" t="s">
        <v>578</v>
      </c>
      <c r="D469" s="110" t="s">
        <v>463</v>
      </c>
    </row>
    <row r="470" spans="1:4" x14ac:dyDescent="0.4">
      <c r="A470" s="108" t="s">
        <v>119</v>
      </c>
      <c r="B470" s="108" t="s">
        <v>188</v>
      </c>
      <c r="C470" s="109" t="s">
        <v>277</v>
      </c>
      <c r="D470" s="110" t="s">
        <v>463</v>
      </c>
    </row>
    <row r="471" spans="1:4" x14ac:dyDescent="0.4">
      <c r="A471" s="108" t="s">
        <v>78</v>
      </c>
      <c r="B471" s="108" t="s">
        <v>145</v>
      </c>
      <c r="C471" s="109" t="s">
        <v>449</v>
      </c>
      <c r="D471" s="110" t="s">
        <v>463</v>
      </c>
    </row>
    <row r="472" spans="1:4" x14ac:dyDescent="0.4">
      <c r="A472" s="108" t="s">
        <v>117</v>
      </c>
      <c r="B472" s="108" t="s">
        <v>101</v>
      </c>
      <c r="C472" s="109" t="s">
        <v>253</v>
      </c>
      <c r="D472" s="110" t="s">
        <v>463</v>
      </c>
    </row>
    <row r="473" spans="1:4" x14ac:dyDescent="0.4">
      <c r="A473" s="108" t="s">
        <v>100</v>
      </c>
      <c r="B473" s="108" t="s">
        <v>93</v>
      </c>
      <c r="C473" s="109" t="s">
        <v>207</v>
      </c>
      <c r="D473" s="110" t="s">
        <v>463</v>
      </c>
    </row>
    <row r="474" spans="1:4" x14ac:dyDescent="0.4">
      <c r="A474" s="108" t="s">
        <v>127</v>
      </c>
      <c r="B474" s="108" t="s">
        <v>134</v>
      </c>
      <c r="C474" s="109" t="s">
        <v>305</v>
      </c>
      <c r="D474" s="110" t="s">
        <v>463</v>
      </c>
    </row>
    <row r="475" spans="1:4" x14ac:dyDescent="0.4">
      <c r="A475" s="108" t="s">
        <v>75</v>
      </c>
      <c r="B475" s="108" t="s">
        <v>76</v>
      </c>
      <c r="C475" s="109" t="s">
        <v>295</v>
      </c>
      <c r="D475" s="110" t="s">
        <v>463</v>
      </c>
    </row>
    <row r="476" spans="1:4" x14ac:dyDescent="0.4">
      <c r="A476" s="108" t="s">
        <v>127</v>
      </c>
      <c r="B476" s="108" t="s">
        <v>115</v>
      </c>
      <c r="C476" s="109" t="s">
        <v>84</v>
      </c>
      <c r="D476" s="110" t="s">
        <v>463</v>
      </c>
    </row>
    <row r="477" spans="1:4" x14ac:dyDescent="0.4">
      <c r="A477" s="108" t="s">
        <v>114</v>
      </c>
      <c r="B477" s="108" t="s">
        <v>123</v>
      </c>
      <c r="C477" s="109" t="s">
        <v>1283</v>
      </c>
      <c r="D477" s="110" t="s">
        <v>463</v>
      </c>
    </row>
    <row r="478" spans="1:4" x14ac:dyDescent="0.4">
      <c r="A478" s="108" t="s">
        <v>114</v>
      </c>
      <c r="B478" s="108" t="s">
        <v>107</v>
      </c>
      <c r="C478" s="109" t="s">
        <v>1284</v>
      </c>
      <c r="D478" s="110" t="s">
        <v>463</v>
      </c>
    </row>
    <row r="479" spans="1:4" x14ac:dyDescent="0.4">
      <c r="A479" s="108" t="s">
        <v>168</v>
      </c>
      <c r="B479" s="108" t="s">
        <v>83</v>
      </c>
      <c r="C479" s="109" t="s">
        <v>212</v>
      </c>
      <c r="D479" s="110" t="s">
        <v>463</v>
      </c>
    </row>
    <row r="480" spans="1:4" x14ac:dyDescent="0.4">
      <c r="A480" s="108" t="s">
        <v>65</v>
      </c>
      <c r="B480" s="108" t="s">
        <v>145</v>
      </c>
      <c r="C480" s="109" t="s">
        <v>449</v>
      </c>
      <c r="D480" s="110" t="s">
        <v>463</v>
      </c>
    </row>
    <row r="481" spans="1:4" x14ac:dyDescent="0.4">
      <c r="A481" s="108" t="s">
        <v>149</v>
      </c>
      <c r="B481" s="108" t="s">
        <v>134</v>
      </c>
      <c r="C481" s="109" t="s">
        <v>316</v>
      </c>
      <c r="D481" s="110" t="s">
        <v>463</v>
      </c>
    </row>
    <row r="482" spans="1:4" x14ac:dyDescent="0.4">
      <c r="A482" s="108" t="s">
        <v>165</v>
      </c>
      <c r="B482" s="108" t="s">
        <v>91</v>
      </c>
      <c r="C482" s="109" t="s">
        <v>84</v>
      </c>
      <c r="D482" s="110" t="s">
        <v>463</v>
      </c>
    </row>
    <row r="483" spans="1:4" x14ac:dyDescent="0.4">
      <c r="A483" s="108" t="s">
        <v>263</v>
      </c>
      <c r="B483" s="108" t="s">
        <v>125</v>
      </c>
      <c r="C483" s="109" t="s">
        <v>84</v>
      </c>
      <c r="D483" s="110" t="s">
        <v>463</v>
      </c>
    </row>
    <row r="484" spans="1:4" x14ac:dyDescent="0.4">
      <c r="A484" s="108" t="s">
        <v>108</v>
      </c>
      <c r="B484" s="108" t="s">
        <v>130</v>
      </c>
      <c r="C484" s="109" t="s">
        <v>420</v>
      </c>
      <c r="D484" s="110" t="s">
        <v>463</v>
      </c>
    </row>
    <row r="485" spans="1:4" x14ac:dyDescent="0.4">
      <c r="A485" s="108" t="s">
        <v>67</v>
      </c>
      <c r="B485" s="108" t="s">
        <v>126</v>
      </c>
      <c r="C485" s="109" t="s">
        <v>1285</v>
      </c>
      <c r="D485" s="110" t="s">
        <v>463</v>
      </c>
    </row>
    <row r="486" spans="1:4" x14ac:dyDescent="0.4">
      <c r="A486" s="108" t="s">
        <v>223</v>
      </c>
      <c r="B486" s="108" t="s">
        <v>120</v>
      </c>
      <c r="C486" s="109" t="s">
        <v>208</v>
      </c>
      <c r="D486" s="110" t="s">
        <v>463</v>
      </c>
    </row>
    <row r="487" spans="1:4" x14ac:dyDescent="0.4">
      <c r="A487" s="108" t="s">
        <v>97</v>
      </c>
      <c r="B487" s="108" t="s">
        <v>76</v>
      </c>
      <c r="C487" s="109" t="s">
        <v>245</v>
      </c>
      <c r="D487" s="110" t="s">
        <v>463</v>
      </c>
    </row>
    <row r="488" spans="1:4" x14ac:dyDescent="0.4">
      <c r="A488" s="108" t="s">
        <v>152</v>
      </c>
      <c r="B488" s="108" t="s">
        <v>150</v>
      </c>
      <c r="C488" s="109" t="s">
        <v>211</v>
      </c>
      <c r="D488" s="110" t="s">
        <v>463</v>
      </c>
    </row>
    <row r="489" spans="1:4" x14ac:dyDescent="0.4">
      <c r="A489" s="108" t="s">
        <v>67</v>
      </c>
      <c r="B489" s="108" t="s">
        <v>101</v>
      </c>
      <c r="C489" s="109" t="s">
        <v>1286</v>
      </c>
      <c r="D489" s="110" t="s">
        <v>463</v>
      </c>
    </row>
    <row r="490" spans="1:4" x14ac:dyDescent="0.4">
      <c r="A490" s="108" t="s">
        <v>149</v>
      </c>
      <c r="B490" s="108" t="s">
        <v>1179</v>
      </c>
      <c r="C490" s="109" t="s">
        <v>1170</v>
      </c>
      <c r="D490" s="110" t="s">
        <v>463</v>
      </c>
    </row>
    <row r="491" spans="1:4" x14ac:dyDescent="0.4">
      <c r="A491" s="108" t="s">
        <v>132</v>
      </c>
      <c r="B491" s="108" t="s">
        <v>142</v>
      </c>
      <c r="C491" s="109" t="s">
        <v>1287</v>
      </c>
      <c r="D491" s="110" t="s">
        <v>463</v>
      </c>
    </row>
    <row r="492" spans="1:4" x14ac:dyDescent="0.4">
      <c r="A492" s="108" t="s">
        <v>117</v>
      </c>
      <c r="B492" s="108" t="s">
        <v>76</v>
      </c>
      <c r="C492" s="109" t="s">
        <v>84</v>
      </c>
      <c r="D492" s="110" t="s">
        <v>463</v>
      </c>
    </row>
    <row r="493" spans="1:4" x14ac:dyDescent="0.4">
      <c r="A493" s="108" t="s">
        <v>139</v>
      </c>
      <c r="B493" s="108" t="s">
        <v>142</v>
      </c>
      <c r="C493" s="109" t="s">
        <v>84</v>
      </c>
      <c r="D493" s="110" t="s">
        <v>463</v>
      </c>
    </row>
    <row r="494" spans="1:4" x14ac:dyDescent="0.4">
      <c r="A494" s="108" t="s">
        <v>117</v>
      </c>
      <c r="B494" s="108" t="s">
        <v>122</v>
      </c>
      <c r="C494" s="109" t="s">
        <v>88</v>
      </c>
      <c r="D494" s="110" t="s">
        <v>463</v>
      </c>
    </row>
    <row r="495" spans="1:4" x14ac:dyDescent="0.4">
      <c r="A495" s="108" t="s">
        <v>114</v>
      </c>
      <c r="B495" s="108" t="s">
        <v>76</v>
      </c>
      <c r="C495" s="109" t="s">
        <v>84</v>
      </c>
      <c r="D495" s="110" t="s">
        <v>463</v>
      </c>
    </row>
    <row r="496" spans="1:4" x14ac:dyDescent="0.4">
      <c r="A496" s="108" t="s">
        <v>219</v>
      </c>
      <c r="B496" s="108" t="s">
        <v>125</v>
      </c>
      <c r="C496" s="109" t="s">
        <v>84</v>
      </c>
      <c r="D496" s="110" t="s">
        <v>463</v>
      </c>
    </row>
    <row r="497" spans="1:4" x14ac:dyDescent="0.4">
      <c r="A497" s="108" t="s">
        <v>124</v>
      </c>
      <c r="B497" s="108" t="s">
        <v>134</v>
      </c>
      <c r="C497" s="109" t="s">
        <v>1288</v>
      </c>
      <c r="D497" s="110" t="s">
        <v>463</v>
      </c>
    </row>
    <row r="498" spans="1:4" x14ac:dyDescent="0.4">
      <c r="A498" s="108" t="s">
        <v>168</v>
      </c>
      <c r="B498" s="108" t="s">
        <v>134</v>
      </c>
      <c r="C498" s="109" t="s">
        <v>84</v>
      </c>
      <c r="D498" s="110" t="s">
        <v>463</v>
      </c>
    </row>
    <row r="499" spans="1:4" x14ac:dyDescent="0.4">
      <c r="A499" s="108" t="s">
        <v>67</v>
      </c>
      <c r="B499" s="108" t="s">
        <v>145</v>
      </c>
      <c r="C499" s="109" t="s">
        <v>1187</v>
      </c>
      <c r="D499" s="110" t="s">
        <v>463</v>
      </c>
    </row>
    <row r="500" spans="1:4" x14ac:dyDescent="0.4">
      <c r="A500" s="108" t="s">
        <v>1182</v>
      </c>
      <c r="B500" s="108" t="s">
        <v>136</v>
      </c>
      <c r="C500" s="109" t="s">
        <v>1228</v>
      </c>
      <c r="D500" s="110" t="s">
        <v>463</v>
      </c>
    </row>
    <row r="501" spans="1:4" x14ac:dyDescent="0.4">
      <c r="A501" s="108" t="s">
        <v>65</v>
      </c>
      <c r="B501" s="108" t="s">
        <v>136</v>
      </c>
      <c r="C501" s="109" t="s">
        <v>436</v>
      </c>
      <c r="D501" s="110" t="s">
        <v>463</v>
      </c>
    </row>
    <row r="502" spans="1:4" x14ac:dyDescent="0.4">
      <c r="A502" s="108" t="s">
        <v>65</v>
      </c>
      <c r="B502" s="108" t="s">
        <v>98</v>
      </c>
      <c r="C502" s="109" t="s">
        <v>1289</v>
      </c>
      <c r="D502" s="110" t="s">
        <v>463</v>
      </c>
    </row>
  </sheetData>
  <mergeCells count="1">
    <mergeCell ref="A1:D1"/>
  </mergeCells>
  <conditionalFormatting sqref="A3:D502">
    <cfRule type="expression" dxfId="1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148F-F937-4F98-B2D4-F841C9307D2F}">
  <sheetPr>
    <tabColor rgb="FF888888"/>
  </sheetPr>
  <dimension ref="A1:E502"/>
  <sheetViews>
    <sheetView showGridLines="0" workbookViewId="0">
      <pane ySplit="2" topLeftCell="A3" activePane="bottomLeft" state="frozen"/>
      <selection pane="bottomLeft" activeCell="A2" sqref="A2:E502"/>
    </sheetView>
  </sheetViews>
  <sheetFormatPr baseColWidth="10" defaultRowHeight="14.6" x14ac:dyDescent="0.4"/>
  <cols>
    <col min="1" max="1" width="56.69140625" bestFit="1" customWidth="1"/>
    <col min="2" max="2" width="80.61328125" bestFit="1" customWidth="1"/>
    <col min="3" max="3" width="29.53515625" bestFit="1" customWidth="1"/>
    <col min="4" max="4" width="23.765625" bestFit="1" customWidth="1"/>
    <col min="5" max="5" width="18.15234375" bestFit="1" customWidth="1"/>
  </cols>
  <sheetData>
    <row r="1" spans="1:5" s="4" customFormat="1" ht="32.049999999999997" customHeight="1" x14ac:dyDescent="0.5">
      <c r="A1" s="106" t="s">
        <v>367</v>
      </c>
      <c r="B1" s="86"/>
      <c r="C1" s="86"/>
      <c r="D1" s="86"/>
      <c r="E1" s="86"/>
    </row>
    <row r="2" spans="1:5" x14ac:dyDescent="0.4">
      <c r="A2" s="107" t="s">
        <v>368</v>
      </c>
      <c r="B2" s="107" t="s">
        <v>369</v>
      </c>
      <c r="C2" s="107" t="s">
        <v>370</v>
      </c>
      <c r="D2" s="107" t="s">
        <v>371</v>
      </c>
      <c r="E2" s="107" t="s">
        <v>372</v>
      </c>
    </row>
    <row r="3" spans="1:5" x14ac:dyDescent="0.4">
      <c r="A3" s="108" t="s">
        <v>410</v>
      </c>
      <c r="B3" s="108" t="s">
        <v>462</v>
      </c>
      <c r="C3" s="108" t="s">
        <v>374</v>
      </c>
      <c r="D3" s="109" t="s">
        <v>315</v>
      </c>
      <c r="E3" s="110" t="s">
        <v>463</v>
      </c>
    </row>
    <row r="4" spans="1:5" x14ac:dyDescent="0.4">
      <c r="A4" s="108" t="s">
        <v>410</v>
      </c>
      <c r="B4" s="108" t="s">
        <v>464</v>
      </c>
      <c r="C4" s="108" t="s">
        <v>374</v>
      </c>
      <c r="D4" s="109" t="s">
        <v>315</v>
      </c>
      <c r="E4" s="110" t="s">
        <v>463</v>
      </c>
    </row>
    <row r="5" spans="1:5" x14ac:dyDescent="0.4">
      <c r="A5" s="108" t="s">
        <v>410</v>
      </c>
      <c r="B5" s="108" t="s">
        <v>465</v>
      </c>
      <c r="C5" s="108" t="s">
        <v>374</v>
      </c>
      <c r="D5" s="109" t="s">
        <v>315</v>
      </c>
      <c r="E5" s="110" t="s">
        <v>463</v>
      </c>
    </row>
    <row r="6" spans="1:5" x14ac:dyDescent="0.4">
      <c r="A6" s="108" t="s">
        <v>410</v>
      </c>
      <c r="B6" s="108" t="s">
        <v>466</v>
      </c>
      <c r="C6" s="108" t="s">
        <v>374</v>
      </c>
      <c r="D6" s="109" t="s">
        <v>315</v>
      </c>
      <c r="E6" s="110" t="s">
        <v>463</v>
      </c>
    </row>
    <row r="7" spans="1:5" x14ac:dyDescent="0.4">
      <c r="A7" s="108" t="s">
        <v>410</v>
      </c>
      <c r="B7" s="108" t="s">
        <v>467</v>
      </c>
      <c r="C7" s="108" t="s">
        <v>374</v>
      </c>
      <c r="D7" s="109" t="s">
        <v>315</v>
      </c>
      <c r="E7" s="110" t="s">
        <v>463</v>
      </c>
    </row>
    <row r="8" spans="1:5" x14ac:dyDescent="0.4">
      <c r="A8" s="108" t="s">
        <v>410</v>
      </c>
      <c r="B8" s="108" t="s">
        <v>468</v>
      </c>
      <c r="C8" s="108" t="s">
        <v>374</v>
      </c>
      <c r="D8" s="109" t="s">
        <v>412</v>
      </c>
      <c r="E8" s="110" t="s">
        <v>463</v>
      </c>
    </row>
    <row r="9" spans="1:5" x14ac:dyDescent="0.4">
      <c r="A9" s="108" t="s">
        <v>410</v>
      </c>
      <c r="B9" s="108" t="s">
        <v>469</v>
      </c>
      <c r="C9" s="108" t="s">
        <v>374</v>
      </c>
      <c r="D9" s="109" t="s">
        <v>412</v>
      </c>
      <c r="E9" s="110" t="s">
        <v>463</v>
      </c>
    </row>
    <row r="10" spans="1:5" x14ac:dyDescent="0.4">
      <c r="A10" s="108" t="s">
        <v>410</v>
      </c>
      <c r="B10" s="108" t="s">
        <v>470</v>
      </c>
      <c r="C10" s="108" t="s">
        <v>374</v>
      </c>
      <c r="D10" s="109" t="s">
        <v>415</v>
      </c>
      <c r="E10" s="110" t="s">
        <v>463</v>
      </c>
    </row>
    <row r="11" spans="1:5" x14ac:dyDescent="0.4">
      <c r="A11" s="108" t="s">
        <v>410</v>
      </c>
      <c r="B11" s="108" t="s">
        <v>471</v>
      </c>
      <c r="C11" s="108" t="s">
        <v>374</v>
      </c>
      <c r="D11" s="109" t="s">
        <v>315</v>
      </c>
      <c r="E11" s="110" t="s">
        <v>463</v>
      </c>
    </row>
    <row r="12" spans="1:5" x14ac:dyDescent="0.4">
      <c r="A12" s="108" t="s">
        <v>410</v>
      </c>
      <c r="B12" s="108" t="s">
        <v>472</v>
      </c>
      <c r="C12" s="108" t="s">
        <v>374</v>
      </c>
      <c r="D12" s="109" t="s">
        <v>315</v>
      </c>
      <c r="E12" s="110" t="s">
        <v>463</v>
      </c>
    </row>
    <row r="13" spans="1:5" x14ac:dyDescent="0.4">
      <c r="A13" s="108" t="s">
        <v>410</v>
      </c>
      <c r="B13" s="108" t="s">
        <v>473</v>
      </c>
      <c r="C13" s="108" t="s">
        <v>374</v>
      </c>
      <c r="D13" s="109" t="s">
        <v>194</v>
      </c>
      <c r="E13" s="110" t="s">
        <v>463</v>
      </c>
    </row>
    <row r="14" spans="1:5" x14ac:dyDescent="0.4">
      <c r="A14" s="108" t="s">
        <v>410</v>
      </c>
      <c r="B14" s="108" t="s">
        <v>474</v>
      </c>
      <c r="C14" s="108" t="s">
        <v>374</v>
      </c>
      <c r="D14" s="109" t="s">
        <v>315</v>
      </c>
      <c r="E14" s="110" t="s">
        <v>463</v>
      </c>
    </row>
    <row r="15" spans="1:5" x14ac:dyDescent="0.4">
      <c r="A15" s="108" t="s">
        <v>410</v>
      </c>
      <c r="B15" s="108" t="s">
        <v>475</v>
      </c>
      <c r="C15" s="108" t="s">
        <v>374</v>
      </c>
      <c r="D15" s="109" t="s">
        <v>194</v>
      </c>
      <c r="E15" s="110" t="s">
        <v>463</v>
      </c>
    </row>
    <row r="16" spans="1:5" x14ac:dyDescent="0.4">
      <c r="A16" s="108" t="s">
        <v>410</v>
      </c>
      <c r="B16" s="108" t="s">
        <v>476</v>
      </c>
      <c r="C16" s="108" t="s">
        <v>374</v>
      </c>
      <c r="D16" s="109" t="s">
        <v>477</v>
      </c>
      <c r="E16" s="110" t="s">
        <v>463</v>
      </c>
    </row>
    <row r="17" spans="1:5" x14ac:dyDescent="0.4">
      <c r="A17" s="108" t="s">
        <v>410</v>
      </c>
      <c r="B17" s="108" t="s">
        <v>478</v>
      </c>
      <c r="C17" s="108" t="s">
        <v>374</v>
      </c>
      <c r="D17" s="109" t="s">
        <v>194</v>
      </c>
      <c r="E17" s="110" t="s">
        <v>463</v>
      </c>
    </row>
    <row r="18" spans="1:5" x14ac:dyDescent="0.4">
      <c r="A18" s="108" t="s">
        <v>410</v>
      </c>
      <c r="B18" s="108" t="s">
        <v>479</v>
      </c>
      <c r="C18" s="108" t="s">
        <v>374</v>
      </c>
      <c r="D18" s="109" t="s">
        <v>411</v>
      </c>
      <c r="E18" s="110" t="s">
        <v>463</v>
      </c>
    </row>
    <row r="19" spans="1:5" x14ac:dyDescent="0.4">
      <c r="A19" s="108" t="s">
        <v>410</v>
      </c>
      <c r="B19" s="108" t="s">
        <v>480</v>
      </c>
      <c r="C19" s="108" t="s">
        <v>374</v>
      </c>
      <c r="D19" s="109" t="s">
        <v>194</v>
      </c>
      <c r="E19" s="110" t="s">
        <v>463</v>
      </c>
    </row>
    <row r="20" spans="1:5" x14ac:dyDescent="0.4">
      <c r="A20" s="108" t="s">
        <v>410</v>
      </c>
      <c r="B20" s="108" t="s">
        <v>481</v>
      </c>
      <c r="C20" s="108" t="s">
        <v>374</v>
      </c>
      <c r="D20" s="109" t="s">
        <v>482</v>
      </c>
      <c r="E20" s="110" t="s">
        <v>463</v>
      </c>
    </row>
    <row r="21" spans="1:5" x14ac:dyDescent="0.4">
      <c r="A21" s="108" t="s">
        <v>410</v>
      </c>
      <c r="B21" s="108" t="s">
        <v>483</v>
      </c>
      <c r="C21" s="108" t="s">
        <v>374</v>
      </c>
      <c r="D21" s="109" t="s">
        <v>84</v>
      </c>
      <c r="E21" s="110" t="s">
        <v>463</v>
      </c>
    </row>
    <row r="22" spans="1:5" x14ac:dyDescent="0.4">
      <c r="A22" s="108" t="s">
        <v>410</v>
      </c>
      <c r="B22" s="108" t="s">
        <v>484</v>
      </c>
      <c r="C22" s="108" t="s">
        <v>374</v>
      </c>
      <c r="D22" s="109" t="s">
        <v>84</v>
      </c>
      <c r="E22" s="110" t="s">
        <v>463</v>
      </c>
    </row>
    <row r="23" spans="1:5" x14ac:dyDescent="0.4">
      <c r="A23" s="108" t="s">
        <v>410</v>
      </c>
      <c r="B23" s="108" t="s">
        <v>485</v>
      </c>
      <c r="C23" s="108" t="s">
        <v>374</v>
      </c>
      <c r="D23" s="109" t="s">
        <v>84</v>
      </c>
      <c r="E23" s="110" t="s">
        <v>463</v>
      </c>
    </row>
    <row r="24" spans="1:5" x14ac:dyDescent="0.4">
      <c r="A24" s="108" t="s">
        <v>410</v>
      </c>
      <c r="B24" s="108" t="s">
        <v>486</v>
      </c>
      <c r="C24" s="108" t="s">
        <v>374</v>
      </c>
      <c r="D24" s="109" t="s">
        <v>84</v>
      </c>
      <c r="E24" s="110" t="s">
        <v>463</v>
      </c>
    </row>
    <row r="25" spans="1:5" x14ac:dyDescent="0.4">
      <c r="A25" s="108" t="s">
        <v>410</v>
      </c>
      <c r="B25" s="108" t="s">
        <v>487</v>
      </c>
      <c r="C25" s="108" t="s">
        <v>374</v>
      </c>
      <c r="D25" s="109" t="s">
        <v>84</v>
      </c>
      <c r="E25" s="110" t="s">
        <v>463</v>
      </c>
    </row>
    <row r="26" spans="1:5" x14ac:dyDescent="0.4">
      <c r="A26" s="108" t="s">
        <v>410</v>
      </c>
      <c r="B26" s="108" t="s">
        <v>488</v>
      </c>
      <c r="C26" s="108" t="s">
        <v>374</v>
      </c>
      <c r="D26" s="109" t="s">
        <v>84</v>
      </c>
      <c r="E26" s="110" t="s">
        <v>463</v>
      </c>
    </row>
    <row r="27" spans="1:5" x14ac:dyDescent="0.4">
      <c r="A27" s="108" t="s">
        <v>410</v>
      </c>
      <c r="B27" s="108" t="s">
        <v>489</v>
      </c>
      <c r="C27" s="108" t="s">
        <v>374</v>
      </c>
      <c r="D27" s="109" t="s">
        <v>84</v>
      </c>
      <c r="E27" s="110" t="s">
        <v>463</v>
      </c>
    </row>
    <row r="28" spans="1:5" x14ac:dyDescent="0.4">
      <c r="A28" s="108" t="s">
        <v>410</v>
      </c>
      <c r="B28" s="108" t="s">
        <v>490</v>
      </c>
      <c r="C28" s="108" t="s">
        <v>374</v>
      </c>
      <c r="D28" s="109" t="s">
        <v>84</v>
      </c>
      <c r="E28" s="110" t="s">
        <v>463</v>
      </c>
    </row>
    <row r="29" spans="1:5" x14ac:dyDescent="0.4">
      <c r="A29" s="108" t="s">
        <v>410</v>
      </c>
      <c r="B29" s="108" t="s">
        <v>491</v>
      </c>
      <c r="C29" s="108" t="s">
        <v>374</v>
      </c>
      <c r="D29" s="109" t="s">
        <v>84</v>
      </c>
      <c r="E29" s="110" t="s">
        <v>463</v>
      </c>
    </row>
    <row r="30" spans="1:5" x14ac:dyDescent="0.4">
      <c r="A30" s="108" t="s">
        <v>410</v>
      </c>
      <c r="B30" s="108" t="s">
        <v>492</v>
      </c>
      <c r="C30" s="108" t="s">
        <v>374</v>
      </c>
      <c r="D30" s="109" t="s">
        <v>84</v>
      </c>
      <c r="E30" s="110" t="s">
        <v>463</v>
      </c>
    </row>
    <row r="31" spans="1:5" x14ac:dyDescent="0.4">
      <c r="A31" s="108" t="s">
        <v>410</v>
      </c>
      <c r="B31" s="108" t="s">
        <v>493</v>
      </c>
      <c r="C31" s="108" t="s">
        <v>374</v>
      </c>
      <c r="D31" s="109" t="s">
        <v>84</v>
      </c>
      <c r="E31" s="110" t="s">
        <v>463</v>
      </c>
    </row>
    <row r="32" spans="1:5" x14ac:dyDescent="0.4">
      <c r="A32" s="108" t="s">
        <v>410</v>
      </c>
      <c r="B32" s="108" t="s">
        <v>494</v>
      </c>
      <c r="C32" s="108" t="s">
        <v>374</v>
      </c>
      <c r="D32" s="109" t="s">
        <v>84</v>
      </c>
      <c r="E32" s="110" t="s">
        <v>463</v>
      </c>
    </row>
    <row r="33" spans="1:5" x14ac:dyDescent="0.4">
      <c r="A33" s="108" t="s">
        <v>410</v>
      </c>
      <c r="B33" s="108" t="s">
        <v>495</v>
      </c>
      <c r="C33" s="108" t="s">
        <v>374</v>
      </c>
      <c r="D33" s="109" t="s">
        <v>84</v>
      </c>
      <c r="E33" s="110" t="s">
        <v>463</v>
      </c>
    </row>
    <row r="34" spans="1:5" x14ac:dyDescent="0.4">
      <c r="A34" s="108" t="s">
        <v>410</v>
      </c>
      <c r="B34" s="108" t="s">
        <v>496</v>
      </c>
      <c r="C34" s="108" t="s">
        <v>374</v>
      </c>
      <c r="D34" s="109" t="s">
        <v>84</v>
      </c>
      <c r="E34" s="110" t="s">
        <v>463</v>
      </c>
    </row>
    <row r="35" spans="1:5" x14ac:dyDescent="0.4">
      <c r="A35" s="108" t="s">
        <v>410</v>
      </c>
      <c r="B35" s="108" t="s">
        <v>497</v>
      </c>
      <c r="C35" s="108" t="s">
        <v>374</v>
      </c>
      <c r="D35" s="109" t="s">
        <v>84</v>
      </c>
      <c r="E35" s="110" t="s">
        <v>463</v>
      </c>
    </row>
    <row r="36" spans="1:5" x14ac:dyDescent="0.4">
      <c r="A36" s="108" t="s">
        <v>410</v>
      </c>
      <c r="B36" s="108" t="s">
        <v>498</v>
      </c>
      <c r="C36" s="108" t="s">
        <v>374</v>
      </c>
      <c r="D36" s="109" t="s">
        <v>84</v>
      </c>
      <c r="E36" s="110" t="s">
        <v>463</v>
      </c>
    </row>
    <row r="37" spans="1:5" x14ac:dyDescent="0.4">
      <c r="A37" s="108" t="s">
        <v>410</v>
      </c>
      <c r="B37" s="108" t="s">
        <v>499</v>
      </c>
      <c r="C37" s="108" t="s">
        <v>374</v>
      </c>
      <c r="D37" s="109" t="s">
        <v>84</v>
      </c>
      <c r="E37" s="110" t="s">
        <v>463</v>
      </c>
    </row>
    <row r="38" spans="1:5" x14ac:dyDescent="0.4">
      <c r="A38" s="108" t="s">
        <v>410</v>
      </c>
      <c r="B38" s="108" t="s">
        <v>500</v>
      </c>
      <c r="C38" s="108" t="s">
        <v>374</v>
      </c>
      <c r="D38" s="109" t="s">
        <v>84</v>
      </c>
      <c r="E38" s="110" t="s">
        <v>463</v>
      </c>
    </row>
    <row r="39" spans="1:5" x14ac:dyDescent="0.4">
      <c r="A39" s="108" t="s">
        <v>410</v>
      </c>
      <c r="B39" s="108" t="s">
        <v>501</v>
      </c>
      <c r="C39" s="108" t="s">
        <v>374</v>
      </c>
      <c r="D39" s="109" t="s">
        <v>84</v>
      </c>
      <c r="E39" s="110" t="s">
        <v>463</v>
      </c>
    </row>
    <row r="40" spans="1:5" x14ac:dyDescent="0.4">
      <c r="A40" s="108" t="s">
        <v>410</v>
      </c>
      <c r="B40" s="108" t="s">
        <v>502</v>
      </c>
      <c r="C40" s="108" t="s">
        <v>374</v>
      </c>
      <c r="D40" s="109" t="s">
        <v>84</v>
      </c>
      <c r="E40" s="110" t="s">
        <v>463</v>
      </c>
    </row>
    <row r="41" spans="1:5" x14ac:dyDescent="0.4">
      <c r="A41" s="108" t="s">
        <v>410</v>
      </c>
      <c r="B41" s="108" t="s">
        <v>503</v>
      </c>
      <c r="C41" s="108" t="s">
        <v>374</v>
      </c>
      <c r="D41" s="109" t="s">
        <v>84</v>
      </c>
      <c r="E41" s="110" t="s">
        <v>463</v>
      </c>
    </row>
    <row r="42" spans="1:5" x14ac:dyDescent="0.4">
      <c r="A42" s="108" t="s">
        <v>418</v>
      </c>
      <c r="B42" s="108" t="s">
        <v>504</v>
      </c>
      <c r="C42" s="108" t="s">
        <v>374</v>
      </c>
      <c r="D42" s="109" t="s">
        <v>265</v>
      </c>
      <c r="E42" s="110" t="s">
        <v>463</v>
      </c>
    </row>
    <row r="43" spans="1:5" x14ac:dyDescent="0.4">
      <c r="A43" s="108" t="s">
        <v>418</v>
      </c>
      <c r="B43" s="108" t="s">
        <v>505</v>
      </c>
      <c r="C43" s="108" t="s">
        <v>374</v>
      </c>
      <c r="D43" s="109" t="s">
        <v>506</v>
      </c>
      <c r="E43" s="110" t="s">
        <v>463</v>
      </c>
    </row>
    <row r="44" spans="1:5" x14ac:dyDescent="0.4">
      <c r="A44" s="108" t="s">
        <v>418</v>
      </c>
      <c r="B44" s="108" t="s">
        <v>507</v>
      </c>
      <c r="C44" s="108" t="s">
        <v>374</v>
      </c>
      <c r="D44" s="109" t="s">
        <v>404</v>
      </c>
      <c r="E44" s="110" t="s">
        <v>463</v>
      </c>
    </row>
    <row r="45" spans="1:5" x14ac:dyDescent="0.4">
      <c r="A45" s="108" t="s">
        <v>418</v>
      </c>
      <c r="B45" s="108" t="s">
        <v>508</v>
      </c>
      <c r="C45" s="108" t="s">
        <v>374</v>
      </c>
      <c r="D45" s="109" t="s">
        <v>435</v>
      </c>
      <c r="E45" s="110" t="s">
        <v>463</v>
      </c>
    </row>
    <row r="46" spans="1:5" x14ac:dyDescent="0.4">
      <c r="A46" s="108" t="s">
        <v>418</v>
      </c>
      <c r="B46" s="108" t="s">
        <v>459</v>
      </c>
      <c r="C46" s="108" t="s">
        <v>374</v>
      </c>
      <c r="D46" s="109" t="s">
        <v>283</v>
      </c>
      <c r="E46" s="110" t="s">
        <v>463</v>
      </c>
    </row>
    <row r="47" spans="1:5" x14ac:dyDescent="0.4">
      <c r="A47" s="108" t="s">
        <v>418</v>
      </c>
      <c r="B47" s="108" t="s">
        <v>509</v>
      </c>
      <c r="C47" s="108" t="s">
        <v>374</v>
      </c>
      <c r="D47" s="109" t="s">
        <v>510</v>
      </c>
      <c r="E47" s="110" t="s">
        <v>463</v>
      </c>
    </row>
    <row r="48" spans="1:5" x14ac:dyDescent="0.4">
      <c r="A48" s="108" t="s">
        <v>418</v>
      </c>
      <c r="B48" s="108" t="s">
        <v>511</v>
      </c>
      <c r="C48" s="108" t="s">
        <v>374</v>
      </c>
      <c r="D48" s="109" t="s">
        <v>512</v>
      </c>
      <c r="E48" s="110" t="s">
        <v>463</v>
      </c>
    </row>
    <row r="49" spans="1:5" x14ac:dyDescent="0.4">
      <c r="A49" s="108" t="s">
        <v>418</v>
      </c>
      <c r="B49" s="108" t="s">
        <v>513</v>
      </c>
      <c r="C49" s="108" t="s">
        <v>374</v>
      </c>
      <c r="D49" s="109" t="s">
        <v>514</v>
      </c>
      <c r="E49" s="110" t="s">
        <v>463</v>
      </c>
    </row>
    <row r="50" spans="1:5" x14ac:dyDescent="0.4">
      <c r="A50" s="108" t="s">
        <v>418</v>
      </c>
      <c r="B50" s="108" t="s">
        <v>458</v>
      </c>
      <c r="C50" s="108" t="s">
        <v>374</v>
      </c>
      <c r="D50" s="109" t="s">
        <v>515</v>
      </c>
      <c r="E50" s="110" t="s">
        <v>463</v>
      </c>
    </row>
    <row r="51" spans="1:5" x14ac:dyDescent="0.4">
      <c r="A51" s="108" t="s">
        <v>418</v>
      </c>
      <c r="B51" s="108" t="s">
        <v>516</v>
      </c>
      <c r="C51" s="108" t="s">
        <v>374</v>
      </c>
      <c r="D51" s="109" t="s">
        <v>243</v>
      </c>
      <c r="E51" s="110" t="s">
        <v>463</v>
      </c>
    </row>
    <row r="52" spans="1:5" x14ac:dyDescent="0.4">
      <c r="A52" s="108" t="s">
        <v>418</v>
      </c>
      <c r="B52" s="108" t="s">
        <v>517</v>
      </c>
      <c r="C52" s="108" t="s">
        <v>374</v>
      </c>
      <c r="D52" s="109" t="s">
        <v>518</v>
      </c>
      <c r="E52" s="110" t="s">
        <v>463</v>
      </c>
    </row>
    <row r="53" spans="1:5" x14ac:dyDescent="0.4">
      <c r="A53" s="108" t="s">
        <v>418</v>
      </c>
      <c r="B53" s="108" t="s">
        <v>519</v>
      </c>
      <c r="C53" s="108" t="s">
        <v>374</v>
      </c>
      <c r="D53" s="109" t="s">
        <v>520</v>
      </c>
      <c r="E53" s="110" t="s">
        <v>463</v>
      </c>
    </row>
    <row r="54" spans="1:5" x14ac:dyDescent="0.4">
      <c r="A54" s="108" t="s">
        <v>418</v>
      </c>
      <c r="B54" s="108" t="s">
        <v>521</v>
      </c>
      <c r="C54" s="108" t="s">
        <v>374</v>
      </c>
      <c r="D54" s="109" t="s">
        <v>522</v>
      </c>
      <c r="E54" s="110" t="s">
        <v>463</v>
      </c>
    </row>
    <row r="55" spans="1:5" x14ac:dyDescent="0.4">
      <c r="A55" s="108" t="s">
        <v>418</v>
      </c>
      <c r="B55" s="108" t="s">
        <v>523</v>
      </c>
      <c r="C55" s="108" t="s">
        <v>374</v>
      </c>
      <c r="D55" s="109" t="s">
        <v>524</v>
      </c>
      <c r="E55" s="110" t="s">
        <v>463</v>
      </c>
    </row>
    <row r="56" spans="1:5" x14ac:dyDescent="0.4">
      <c r="A56" s="108" t="s">
        <v>418</v>
      </c>
      <c r="B56" s="108" t="s">
        <v>525</v>
      </c>
      <c r="C56" s="108" t="s">
        <v>374</v>
      </c>
      <c r="D56" s="109" t="s">
        <v>526</v>
      </c>
      <c r="E56" s="110" t="s">
        <v>463</v>
      </c>
    </row>
    <row r="57" spans="1:5" x14ac:dyDescent="0.4">
      <c r="A57" s="108" t="s">
        <v>418</v>
      </c>
      <c r="B57" s="108" t="s">
        <v>460</v>
      </c>
      <c r="C57" s="108" t="s">
        <v>374</v>
      </c>
      <c r="D57" s="109" t="s">
        <v>295</v>
      </c>
      <c r="E57" s="110" t="s">
        <v>463</v>
      </c>
    </row>
    <row r="58" spans="1:5" x14ac:dyDescent="0.4">
      <c r="A58" s="108" t="s">
        <v>418</v>
      </c>
      <c r="B58" s="108" t="s">
        <v>527</v>
      </c>
      <c r="C58" s="108" t="s">
        <v>374</v>
      </c>
      <c r="D58" s="109" t="s">
        <v>273</v>
      </c>
      <c r="E58" s="110" t="s">
        <v>463</v>
      </c>
    </row>
    <row r="59" spans="1:5" x14ac:dyDescent="0.4">
      <c r="A59" s="108" t="s">
        <v>418</v>
      </c>
      <c r="B59" s="108" t="s">
        <v>528</v>
      </c>
      <c r="C59" s="108" t="s">
        <v>374</v>
      </c>
      <c r="D59" s="109" t="s">
        <v>529</v>
      </c>
      <c r="E59" s="110" t="s">
        <v>463</v>
      </c>
    </row>
    <row r="60" spans="1:5" x14ac:dyDescent="0.4">
      <c r="A60" s="108" t="s">
        <v>418</v>
      </c>
      <c r="B60" s="108" t="s">
        <v>461</v>
      </c>
      <c r="C60" s="108" t="s">
        <v>374</v>
      </c>
      <c r="D60" s="109" t="s">
        <v>295</v>
      </c>
      <c r="E60" s="110" t="s">
        <v>463</v>
      </c>
    </row>
    <row r="61" spans="1:5" x14ac:dyDescent="0.4">
      <c r="A61" s="108" t="s">
        <v>418</v>
      </c>
      <c r="B61" s="108" t="s">
        <v>530</v>
      </c>
      <c r="C61" s="108" t="s">
        <v>374</v>
      </c>
      <c r="D61" s="109" t="s">
        <v>280</v>
      </c>
      <c r="E61" s="110" t="s">
        <v>463</v>
      </c>
    </row>
    <row r="62" spans="1:5" x14ac:dyDescent="0.4">
      <c r="A62" s="108" t="s">
        <v>418</v>
      </c>
      <c r="B62" s="108" t="s">
        <v>531</v>
      </c>
      <c r="C62" s="108" t="s">
        <v>374</v>
      </c>
      <c r="D62" s="109" t="s">
        <v>218</v>
      </c>
      <c r="E62" s="110" t="s">
        <v>463</v>
      </c>
    </row>
    <row r="63" spans="1:5" x14ac:dyDescent="0.4">
      <c r="A63" s="108" t="s">
        <v>418</v>
      </c>
      <c r="B63" s="108" t="s">
        <v>532</v>
      </c>
      <c r="C63" s="108" t="s">
        <v>374</v>
      </c>
      <c r="D63" s="109" t="s">
        <v>533</v>
      </c>
      <c r="E63" s="110" t="s">
        <v>463</v>
      </c>
    </row>
    <row r="64" spans="1:5" x14ac:dyDescent="0.4">
      <c r="A64" s="108" t="s">
        <v>418</v>
      </c>
      <c r="B64" s="108" t="s">
        <v>534</v>
      </c>
      <c r="C64" s="108" t="s">
        <v>374</v>
      </c>
      <c r="D64" s="109" t="s">
        <v>118</v>
      </c>
      <c r="E64" s="110" t="s">
        <v>463</v>
      </c>
    </row>
    <row r="65" spans="1:5" x14ac:dyDescent="0.4">
      <c r="A65" s="108" t="s">
        <v>418</v>
      </c>
      <c r="B65" s="108" t="s">
        <v>535</v>
      </c>
      <c r="C65" s="108" t="s">
        <v>374</v>
      </c>
      <c r="D65" s="109" t="s">
        <v>431</v>
      </c>
      <c r="E65" s="110" t="s">
        <v>463</v>
      </c>
    </row>
    <row r="66" spans="1:5" x14ac:dyDescent="0.4">
      <c r="A66" s="108" t="s">
        <v>418</v>
      </c>
      <c r="B66" s="108" t="s">
        <v>536</v>
      </c>
      <c r="C66" s="108" t="s">
        <v>374</v>
      </c>
      <c r="D66" s="109" t="s">
        <v>237</v>
      </c>
      <c r="E66" s="110" t="s">
        <v>463</v>
      </c>
    </row>
    <row r="67" spans="1:5" x14ac:dyDescent="0.4">
      <c r="A67" s="108" t="s">
        <v>418</v>
      </c>
      <c r="B67" s="108" t="s">
        <v>537</v>
      </c>
      <c r="C67" s="108" t="s">
        <v>374</v>
      </c>
      <c r="D67" s="109" t="s">
        <v>538</v>
      </c>
      <c r="E67" s="110" t="s">
        <v>463</v>
      </c>
    </row>
    <row r="68" spans="1:5" x14ac:dyDescent="0.4">
      <c r="A68" s="108" t="s">
        <v>418</v>
      </c>
      <c r="B68" s="108" t="s">
        <v>539</v>
      </c>
      <c r="C68" s="108" t="s">
        <v>374</v>
      </c>
      <c r="D68" s="109" t="s">
        <v>222</v>
      </c>
      <c r="E68" s="110" t="s">
        <v>463</v>
      </c>
    </row>
    <row r="69" spans="1:5" x14ac:dyDescent="0.4">
      <c r="A69" s="108" t="s">
        <v>418</v>
      </c>
      <c r="B69" s="108" t="s">
        <v>540</v>
      </c>
      <c r="C69" s="108" t="s">
        <v>374</v>
      </c>
      <c r="D69" s="109" t="s">
        <v>541</v>
      </c>
      <c r="E69" s="110" t="s">
        <v>463</v>
      </c>
    </row>
    <row r="70" spans="1:5" x14ac:dyDescent="0.4">
      <c r="A70" s="108" t="s">
        <v>418</v>
      </c>
      <c r="B70" s="108" t="s">
        <v>542</v>
      </c>
      <c r="C70" s="108" t="s">
        <v>374</v>
      </c>
      <c r="D70" s="109" t="s">
        <v>218</v>
      </c>
      <c r="E70" s="110" t="s">
        <v>463</v>
      </c>
    </row>
    <row r="71" spans="1:5" x14ac:dyDescent="0.4">
      <c r="A71" s="108" t="s">
        <v>418</v>
      </c>
      <c r="B71" s="108" t="s">
        <v>543</v>
      </c>
      <c r="C71" s="108" t="s">
        <v>374</v>
      </c>
      <c r="D71" s="109" t="s">
        <v>541</v>
      </c>
      <c r="E71" s="110" t="s">
        <v>463</v>
      </c>
    </row>
    <row r="72" spans="1:5" x14ac:dyDescent="0.4">
      <c r="A72" s="108" t="s">
        <v>418</v>
      </c>
      <c r="B72" s="108" t="s">
        <v>544</v>
      </c>
      <c r="C72" s="108" t="s">
        <v>374</v>
      </c>
      <c r="D72" s="109" t="s">
        <v>256</v>
      </c>
      <c r="E72" s="110" t="s">
        <v>463</v>
      </c>
    </row>
    <row r="73" spans="1:5" x14ac:dyDescent="0.4">
      <c r="A73" s="108" t="s">
        <v>418</v>
      </c>
      <c r="B73" s="108" t="s">
        <v>545</v>
      </c>
      <c r="C73" s="108" t="s">
        <v>374</v>
      </c>
      <c r="D73" s="109" t="s">
        <v>140</v>
      </c>
      <c r="E73" s="110" t="s">
        <v>463</v>
      </c>
    </row>
    <row r="74" spans="1:5" x14ac:dyDescent="0.4">
      <c r="A74" s="108" t="s">
        <v>418</v>
      </c>
      <c r="B74" s="108" t="s">
        <v>546</v>
      </c>
      <c r="C74" s="108" t="s">
        <v>374</v>
      </c>
      <c r="D74" s="109" t="s">
        <v>309</v>
      </c>
      <c r="E74" s="110" t="s">
        <v>463</v>
      </c>
    </row>
    <row r="75" spans="1:5" x14ac:dyDescent="0.4">
      <c r="A75" s="108" t="s">
        <v>418</v>
      </c>
      <c r="B75" s="108" t="s">
        <v>547</v>
      </c>
      <c r="C75" s="108" t="s">
        <v>374</v>
      </c>
      <c r="D75" s="109" t="s">
        <v>237</v>
      </c>
      <c r="E75" s="110" t="s">
        <v>463</v>
      </c>
    </row>
    <row r="76" spans="1:5" x14ac:dyDescent="0.4">
      <c r="A76" s="108" t="s">
        <v>418</v>
      </c>
      <c r="B76" s="108" t="s">
        <v>548</v>
      </c>
      <c r="C76" s="108" t="s">
        <v>374</v>
      </c>
      <c r="D76" s="109" t="s">
        <v>549</v>
      </c>
      <c r="E76" s="110" t="s">
        <v>463</v>
      </c>
    </row>
    <row r="77" spans="1:5" x14ac:dyDescent="0.4">
      <c r="A77" s="108" t="s">
        <v>418</v>
      </c>
      <c r="B77" s="108" t="s">
        <v>550</v>
      </c>
      <c r="C77" s="108" t="s">
        <v>374</v>
      </c>
      <c r="D77" s="109" t="s">
        <v>551</v>
      </c>
      <c r="E77" s="110" t="s">
        <v>463</v>
      </c>
    </row>
    <row r="78" spans="1:5" x14ac:dyDescent="0.4">
      <c r="A78" s="108" t="s">
        <v>418</v>
      </c>
      <c r="B78" s="108" t="s">
        <v>552</v>
      </c>
      <c r="C78" s="108" t="s">
        <v>374</v>
      </c>
      <c r="D78" s="109" t="s">
        <v>553</v>
      </c>
      <c r="E78" s="110" t="s">
        <v>463</v>
      </c>
    </row>
    <row r="79" spans="1:5" x14ac:dyDescent="0.4">
      <c r="A79" s="108" t="s">
        <v>418</v>
      </c>
      <c r="B79" s="108" t="s">
        <v>554</v>
      </c>
      <c r="C79" s="108" t="s">
        <v>374</v>
      </c>
      <c r="D79" s="109" t="s">
        <v>555</v>
      </c>
      <c r="E79" s="110" t="s">
        <v>463</v>
      </c>
    </row>
    <row r="80" spans="1:5" x14ac:dyDescent="0.4">
      <c r="A80" s="108" t="s">
        <v>418</v>
      </c>
      <c r="B80" s="108" t="s">
        <v>556</v>
      </c>
      <c r="C80" s="108" t="s">
        <v>374</v>
      </c>
      <c r="D80" s="109" t="s">
        <v>557</v>
      </c>
      <c r="E80" s="110" t="s">
        <v>463</v>
      </c>
    </row>
    <row r="81" spans="1:5" x14ac:dyDescent="0.4">
      <c r="A81" s="108" t="s">
        <v>418</v>
      </c>
      <c r="B81" s="108" t="s">
        <v>558</v>
      </c>
      <c r="C81" s="108" t="s">
        <v>374</v>
      </c>
      <c r="D81" s="109" t="s">
        <v>166</v>
      </c>
      <c r="E81" s="110" t="s">
        <v>463</v>
      </c>
    </row>
    <row r="82" spans="1:5" x14ac:dyDescent="0.4">
      <c r="A82" s="108" t="s">
        <v>418</v>
      </c>
      <c r="B82" s="108" t="s">
        <v>559</v>
      </c>
      <c r="C82" s="108" t="s">
        <v>374</v>
      </c>
      <c r="D82" s="109" t="s">
        <v>102</v>
      </c>
      <c r="E82" s="110" t="s">
        <v>463</v>
      </c>
    </row>
    <row r="83" spans="1:5" x14ac:dyDescent="0.4">
      <c r="A83" s="108" t="s">
        <v>418</v>
      </c>
      <c r="B83" s="108" t="s">
        <v>560</v>
      </c>
      <c r="C83" s="108" t="s">
        <v>374</v>
      </c>
      <c r="D83" s="109" t="s">
        <v>551</v>
      </c>
      <c r="E83" s="110" t="s">
        <v>463</v>
      </c>
    </row>
    <row r="84" spans="1:5" x14ac:dyDescent="0.4">
      <c r="A84" s="108" t="s">
        <v>418</v>
      </c>
      <c r="B84" s="108" t="s">
        <v>561</v>
      </c>
      <c r="C84" s="108" t="s">
        <v>374</v>
      </c>
      <c r="D84" s="109" t="s">
        <v>562</v>
      </c>
      <c r="E84" s="110" t="s">
        <v>463</v>
      </c>
    </row>
    <row r="85" spans="1:5" x14ac:dyDescent="0.4">
      <c r="A85" s="108" t="s">
        <v>418</v>
      </c>
      <c r="B85" s="108" t="s">
        <v>563</v>
      </c>
      <c r="C85" s="108" t="s">
        <v>374</v>
      </c>
      <c r="D85" s="109" t="s">
        <v>564</v>
      </c>
      <c r="E85" s="110" t="s">
        <v>463</v>
      </c>
    </row>
    <row r="86" spans="1:5" x14ac:dyDescent="0.4">
      <c r="A86" s="108" t="s">
        <v>418</v>
      </c>
      <c r="B86" s="108" t="s">
        <v>565</v>
      </c>
      <c r="C86" s="108" t="s">
        <v>374</v>
      </c>
      <c r="D86" s="109" t="s">
        <v>198</v>
      </c>
      <c r="E86" s="110" t="s">
        <v>463</v>
      </c>
    </row>
    <row r="87" spans="1:5" x14ac:dyDescent="0.4">
      <c r="A87" s="108" t="s">
        <v>418</v>
      </c>
      <c r="B87" s="108" t="s">
        <v>566</v>
      </c>
      <c r="C87" s="108" t="s">
        <v>374</v>
      </c>
      <c r="D87" s="109" t="s">
        <v>567</v>
      </c>
      <c r="E87" s="110" t="s">
        <v>463</v>
      </c>
    </row>
    <row r="88" spans="1:5" x14ac:dyDescent="0.4">
      <c r="A88" s="108" t="s">
        <v>418</v>
      </c>
      <c r="B88" s="108" t="s">
        <v>568</v>
      </c>
      <c r="C88" s="108" t="s">
        <v>374</v>
      </c>
      <c r="D88" s="109" t="s">
        <v>569</v>
      </c>
      <c r="E88" s="110" t="s">
        <v>463</v>
      </c>
    </row>
    <row r="89" spans="1:5" x14ac:dyDescent="0.4">
      <c r="A89" s="108" t="s">
        <v>418</v>
      </c>
      <c r="B89" s="108" t="s">
        <v>570</v>
      </c>
      <c r="C89" s="108" t="s">
        <v>374</v>
      </c>
      <c r="D89" s="109" t="s">
        <v>571</v>
      </c>
      <c r="E89" s="110" t="s">
        <v>463</v>
      </c>
    </row>
    <row r="90" spans="1:5" x14ac:dyDescent="0.4">
      <c r="A90" s="108" t="s">
        <v>418</v>
      </c>
      <c r="B90" s="108" t="s">
        <v>572</v>
      </c>
      <c r="C90" s="108" t="s">
        <v>374</v>
      </c>
      <c r="D90" s="109" t="s">
        <v>573</v>
      </c>
      <c r="E90" s="110" t="s">
        <v>463</v>
      </c>
    </row>
    <row r="91" spans="1:5" x14ac:dyDescent="0.4">
      <c r="A91" s="108" t="s">
        <v>418</v>
      </c>
      <c r="B91" s="108" t="s">
        <v>574</v>
      </c>
      <c r="C91" s="108" t="s">
        <v>374</v>
      </c>
      <c r="D91" s="109" t="s">
        <v>445</v>
      </c>
      <c r="E91" s="110" t="s">
        <v>463</v>
      </c>
    </row>
    <row r="92" spans="1:5" x14ac:dyDescent="0.4">
      <c r="A92" s="108" t="s">
        <v>418</v>
      </c>
      <c r="B92" s="108" t="s">
        <v>575</v>
      </c>
      <c r="C92" s="108" t="s">
        <v>374</v>
      </c>
      <c r="D92" s="109" t="s">
        <v>576</v>
      </c>
      <c r="E92" s="110" t="s">
        <v>463</v>
      </c>
    </row>
    <row r="93" spans="1:5" x14ac:dyDescent="0.4">
      <c r="A93" s="108" t="s">
        <v>418</v>
      </c>
      <c r="B93" s="108" t="s">
        <v>577</v>
      </c>
      <c r="C93" s="108" t="s">
        <v>374</v>
      </c>
      <c r="D93" s="109" t="s">
        <v>578</v>
      </c>
      <c r="E93" s="110" t="s">
        <v>463</v>
      </c>
    </row>
    <row r="94" spans="1:5" x14ac:dyDescent="0.4">
      <c r="A94" s="108" t="s">
        <v>418</v>
      </c>
      <c r="B94" s="108" t="s">
        <v>579</v>
      </c>
      <c r="C94" s="108" t="s">
        <v>374</v>
      </c>
      <c r="D94" s="109" t="s">
        <v>580</v>
      </c>
      <c r="E94" s="110" t="s">
        <v>463</v>
      </c>
    </row>
    <row r="95" spans="1:5" x14ac:dyDescent="0.4">
      <c r="A95" s="108" t="s">
        <v>418</v>
      </c>
      <c r="B95" s="108" t="s">
        <v>581</v>
      </c>
      <c r="C95" s="108" t="s">
        <v>374</v>
      </c>
      <c r="D95" s="109" t="s">
        <v>582</v>
      </c>
      <c r="E95" s="110" t="s">
        <v>463</v>
      </c>
    </row>
    <row r="96" spans="1:5" x14ac:dyDescent="0.4">
      <c r="A96" s="108" t="s">
        <v>418</v>
      </c>
      <c r="B96" s="108" t="s">
        <v>583</v>
      </c>
      <c r="C96" s="108" t="s">
        <v>374</v>
      </c>
      <c r="D96" s="109" t="s">
        <v>445</v>
      </c>
      <c r="E96" s="110" t="s">
        <v>463</v>
      </c>
    </row>
    <row r="97" spans="1:5" x14ac:dyDescent="0.4">
      <c r="A97" s="108" t="s">
        <v>418</v>
      </c>
      <c r="B97" s="108" t="s">
        <v>584</v>
      </c>
      <c r="C97" s="108" t="s">
        <v>374</v>
      </c>
      <c r="D97" s="109" t="s">
        <v>284</v>
      </c>
      <c r="E97" s="110" t="s">
        <v>463</v>
      </c>
    </row>
    <row r="98" spans="1:5" x14ac:dyDescent="0.4">
      <c r="A98" s="108" t="s">
        <v>418</v>
      </c>
      <c r="B98" s="108" t="s">
        <v>585</v>
      </c>
      <c r="C98" s="108" t="s">
        <v>374</v>
      </c>
      <c r="D98" s="109" t="s">
        <v>586</v>
      </c>
      <c r="E98" s="110" t="s">
        <v>463</v>
      </c>
    </row>
    <row r="99" spans="1:5" x14ac:dyDescent="0.4">
      <c r="A99" s="108" t="s">
        <v>418</v>
      </c>
      <c r="B99" s="108" t="s">
        <v>587</v>
      </c>
      <c r="C99" s="108" t="s">
        <v>374</v>
      </c>
      <c r="D99" s="109" t="s">
        <v>573</v>
      </c>
      <c r="E99" s="110" t="s">
        <v>463</v>
      </c>
    </row>
    <row r="100" spans="1:5" x14ac:dyDescent="0.4">
      <c r="A100" s="108" t="s">
        <v>418</v>
      </c>
      <c r="B100" s="108" t="s">
        <v>588</v>
      </c>
      <c r="C100" s="108" t="s">
        <v>374</v>
      </c>
      <c r="D100" s="109" t="s">
        <v>421</v>
      </c>
      <c r="E100" s="110" t="s">
        <v>463</v>
      </c>
    </row>
    <row r="101" spans="1:5" x14ac:dyDescent="0.4">
      <c r="A101" s="108" t="s">
        <v>418</v>
      </c>
      <c r="B101" s="108" t="s">
        <v>589</v>
      </c>
      <c r="C101" s="108" t="s">
        <v>374</v>
      </c>
      <c r="D101" s="109" t="s">
        <v>259</v>
      </c>
      <c r="E101" s="110" t="s">
        <v>463</v>
      </c>
    </row>
    <row r="102" spans="1:5" x14ac:dyDescent="0.4">
      <c r="A102" s="108" t="s">
        <v>418</v>
      </c>
      <c r="B102" s="108" t="s">
        <v>590</v>
      </c>
      <c r="C102" s="108" t="s">
        <v>374</v>
      </c>
      <c r="D102" s="109" t="s">
        <v>591</v>
      </c>
      <c r="E102" s="110" t="s">
        <v>463</v>
      </c>
    </row>
    <row r="103" spans="1:5" x14ac:dyDescent="0.4">
      <c r="A103" s="108" t="s">
        <v>418</v>
      </c>
      <c r="B103" s="108" t="s">
        <v>592</v>
      </c>
      <c r="C103" s="108" t="s">
        <v>374</v>
      </c>
      <c r="D103" s="109" t="s">
        <v>138</v>
      </c>
      <c r="E103" s="110" t="s">
        <v>463</v>
      </c>
    </row>
    <row r="104" spans="1:5" x14ac:dyDescent="0.4">
      <c r="A104" s="108" t="s">
        <v>418</v>
      </c>
      <c r="B104" s="108" t="s">
        <v>593</v>
      </c>
      <c r="C104" s="108" t="s">
        <v>374</v>
      </c>
      <c r="D104" s="109" t="s">
        <v>594</v>
      </c>
      <c r="E104" s="110" t="s">
        <v>463</v>
      </c>
    </row>
    <row r="105" spans="1:5" x14ac:dyDescent="0.4">
      <c r="A105" s="108" t="s">
        <v>418</v>
      </c>
      <c r="B105" s="108" t="s">
        <v>595</v>
      </c>
      <c r="C105" s="108" t="s">
        <v>374</v>
      </c>
      <c r="D105" s="109" t="s">
        <v>596</v>
      </c>
      <c r="E105" s="110" t="s">
        <v>463</v>
      </c>
    </row>
    <row r="106" spans="1:5" x14ac:dyDescent="0.4">
      <c r="A106" s="108" t="s">
        <v>418</v>
      </c>
      <c r="B106" s="108" t="s">
        <v>597</v>
      </c>
      <c r="C106" s="108" t="s">
        <v>374</v>
      </c>
      <c r="D106" s="109" t="s">
        <v>598</v>
      </c>
      <c r="E106" s="110" t="s">
        <v>463</v>
      </c>
    </row>
    <row r="107" spans="1:5" x14ac:dyDescent="0.4">
      <c r="A107" s="108" t="s">
        <v>418</v>
      </c>
      <c r="B107" s="108" t="s">
        <v>599</v>
      </c>
      <c r="C107" s="108" t="s">
        <v>374</v>
      </c>
      <c r="D107" s="109" t="s">
        <v>600</v>
      </c>
      <c r="E107" s="110" t="s">
        <v>463</v>
      </c>
    </row>
    <row r="108" spans="1:5" x14ac:dyDescent="0.4">
      <c r="A108" s="108" t="s">
        <v>418</v>
      </c>
      <c r="B108" s="108" t="s">
        <v>601</v>
      </c>
      <c r="C108" s="108" t="s">
        <v>374</v>
      </c>
      <c r="D108" s="109" t="s">
        <v>602</v>
      </c>
      <c r="E108" s="110" t="s">
        <v>463</v>
      </c>
    </row>
    <row r="109" spans="1:5" x14ac:dyDescent="0.4">
      <c r="A109" s="108" t="s">
        <v>418</v>
      </c>
      <c r="B109" s="108" t="s">
        <v>603</v>
      </c>
      <c r="C109" s="108" t="s">
        <v>374</v>
      </c>
      <c r="D109" s="109" t="s">
        <v>604</v>
      </c>
      <c r="E109" s="110" t="s">
        <v>463</v>
      </c>
    </row>
    <row r="110" spans="1:5" x14ac:dyDescent="0.4">
      <c r="A110" s="108" t="s">
        <v>418</v>
      </c>
      <c r="B110" s="108" t="s">
        <v>605</v>
      </c>
      <c r="C110" s="108" t="s">
        <v>374</v>
      </c>
      <c r="D110" s="109" t="s">
        <v>260</v>
      </c>
      <c r="E110" s="110" t="s">
        <v>463</v>
      </c>
    </row>
    <row r="111" spans="1:5" x14ac:dyDescent="0.4">
      <c r="A111" s="108" t="s">
        <v>418</v>
      </c>
      <c r="B111" s="108" t="s">
        <v>606</v>
      </c>
      <c r="C111" s="108" t="s">
        <v>374</v>
      </c>
      <c r="D111" s="109" t="s">
        <v>607</v>
      </c>
      <c r="E111" s="110" t="s">
        <v>463</v>
      </c>
    </row>
    <row r="112" spans="1:5" x14ac:dyDescent="0.4">
      <c r="A112" s="108" t="s">
        <v>418</v>
      </c>
      <c r="B112" s="108" t="s">
        <v>608</v>
      </c>
      <c r="C112" s="108" t="s">
        <v>374</v>
      </c>
      <c r="D112" s="109" t="s">
        <v>609</v>
      </c>
      <c r="E112" s="110" t="s">
        <v>463</v>
      </c>
    </row>
    <row r="113" spans="1:5" x14ac:dyDescent="0.4">
      <c r="A113" s="108" t="s">
        <v>418</v>
      </c>
      <c r="B113" s="108" t="s">
        <v>610</v>
      </c>
      <c r="C113" s="108" t="s">
        <v>374</v>
      </c>
      <c r="D113" s="109" t="s">
        <v>611</v>
      </c>
      <c r="E113" s="110" t="s">
        <v>463</v>
      </c>
    </row>
    <row r="114" spans="1:5" x14ac:dyDescent="0.4">
      <c r="A114" s="108" t="s">
        <v>418</v>
      </c>
      <c r="B114" s="108" t="s">
        <v>612</v>
      </c>
      <c r="C114" s="108" t="s">
        <v>374</v>
      </c>
      <c r="D114" s="109" t="s">
        <v>613</v>
      </c>
      <c r="E114" s="110" t="s">
        <v>463</v>
      </c>
    </row>
    <row r="115" spans="1:5" x14ac:dyDescent="0.4">
      <c r="A115" s="108" t="s">
        <v>418</v>
      </c>
      <c r="B115" s="108" t="s">
        <v>614</v>
      </c>
      <c r="C115" s="108" t="s">
        <v>374</v>
      </c>
      <c r="D115" s="109" t="s">
        <v>386</v>
      </c>
      <c r="E115" s="110" t="s">
        <v>463</v>
      </c>
    </row>
    <row r="116" spans="1:5" x14ac:dyDescent="0.4">
      <c r="A116" s="108" t="s">
        <v>418</v>
      </c>
      <c r="B116" s="108" t="s">
        <v>615</v>
      </c>
      <c r="C116" s="108" t="s">
        <v>374</v>
      </c>
      <c r="D116" s="109" t="s">
        <v>616</v>
      </c>
      <c r="E116" s="110" t="s">
        <v>463</v>
      </c>
    </row>
    <row r="117" spans="1:5" x14ac:dyDescent="0.4">
      <c r="A117" s="108" t="s">
        <v>418</v>
      </c>
      <c r="B117" s="108" t="s">
        <v>617</v>
      </c>
      <c r="C117" s="108" t="s">
        <v>374</v>
      </c>
      <c r="D117" s="109" t="s">
        <v>618</v>
      </c>
      <c r="E117" s="110" t="s">
        <v>463</v>
      </c>
    </row>
    <row r="118" spans="1:5" x14ac:dyDescent="0.4">
      <c r="A118" s="108" t="s">
        <v>418</v>
      </c>
      <c r="B118" s="108" t="s">
        <v>619</v>
      </c>
      <c r="C118" s="108" t="s">
        <v>374</v>
      </c>
      <c r="D118" s="109" t="s">
        <v>620</v>
      </c>
      <c r="E118" s="110" t="s">
        <v>463</v>
      </c>
    </row>
    <row r="119" spans="1:5" x14ac:dyDescent="0.4">
      <c r="A119" s="108" t="s">
        <v>418</v>
      </c>
      <c r="B119" s="108" t="s">
        <v>621</v>
      </c>
      <c r="C119" s="108" t="s">
        <v>374</v>
      </c>
      <c r="D119" s="109" t="s">
        <v>622</v>
      </c>
      <c r="E119" s="110" t="s">
        <v>463</v>
      </c>
    </row>
    <row r="120" spans="1:5" x14ac:dyDescent="0.4">
      <c r="A120" s="108" t="s">
        <v>418</v>
      </c>
      <c r="B120" s="108" t="s">
        <v>623</v>
      </c>
      <c r="C120" s="108" t="s">
        <v>374</v>
      </c>
      <c r="D120" s="109" t="s">
        <v>624</v>
      </c>
      <c r="E120" s="110" t="s">
        <v>463</v>
      </c>
    </row>
    <row r="121" spans="1:5" x14ac:dyDescent="0.4">
      <c r="A121" s="108" t="s">
        <v>418</v>
      </c>
      <c r="B121" s="108" t="s">
        <v>625</v>
      </c>
      <c r="C121" s="108" t="s">
        <v>374</v>
      </c>
      <c r="D121" s="109" t="s">
        <v>626</v>
      </c>
      <c r="E121" s="110" t="s">
        <v>463</v>
      </c>
    </row>
    <row r="122" spans="1:5" x14ac:dyDescent="0.4">
      <c r="A122" s="108" t="s">
        <v>418</v>
      </c>
      <c r="B122" s="108" t="s">
        <v>627</v>
      </c>
      <c r="C122" s="108" t="s">
        <v>374</v>
      </c>
      <c r="D122" s="109" t="s">
        <v>628</v>
      </c>
      <c r="E122" s="110" t="s">
        <v>463</v>
      </c>
    </row>
    <row r="123" spans="1:5" x14ac:dyDescent="0.4">
      <c r="A123" s="108" t="s">
        <v>418</v>
      </c>
      <c r="B123" s="108" t="s">
        <v>629</v>
      </c>
      <c r="C123" s="108" t="s">
        <v>374</v>
      </c>
      <c r="D123" s="109" t="s">
        <v>259</v>
      </c>
      <c r="E123" s="110" t="s">
        <v>463</v>
      </c>
    </row>
    <row r="124" spans="1:5" x14ac:dyDescent="0.4">
      <c r="A124" s="108" t="s">
        <v>418</v>
      </c>
      <c r="B124" s="108" t="s">
        <v>630</v>
      </c>
      <c r="C124" s="108" t="s">
        <v>374</v>
      </c>
      <c r="D124" s="109" t="s">
        <v>631</v>
      </c>
      <c r="E124" s="110" t="s">
        <v>463</v>
      </c>
    </row>
    <row r="125" spans="1:5" x14ac:dyDescent="0.4">
      <c r="A125" s="108" t="s">
        <v>418</v>
      </c>
      <c r="B125" s="108" t="s">
        <v>632</v>
      </c>
      <c r="C125" s="108" t="s">
        <v>374</v>
      </c>
      <c r="D125" s="109" t="s">
        <v>161</v>
      </c>
      <c r="E125" s="110" t="s">
        <v>463</v>
      </c>
    </row>
    <row r="126" spans="1:5" x14ac:dyDescent="0.4">
      <c r="A126" s="108" t="s">
        <v>418</v>
      </c>
      <c r="B126" s="108" t="s">
        <v>633</v>
      </c>
      <c r="C126" s="108" t="s">
        <v>374</v>
      </c>
      <c r="D126" s="109" t="s">
        <v>634</v>
      </c>
      <c r="E126" s="110" t="s">
        <v>463</v>
      </c>
    </row>
    <row r="127" spans="1:5" x14ac:dyDescent="0.4">
      <c r="A127" s="108" t="s">
        <v>635</v>
      </c>
      <c r="B127" s="108" t="s">
        <v>636</v>
      </c>
      <c r="C127" s="108" t="s">
        <v>374</v>
      </c>
      <c r="D127" s="109" t="s">
        <v>637</v>
      </c>
      <c r="E127" s="110" t="s">
        <v>463</v>
      </c>
    </row>
    <row r="128" spans="1:5" x14ac:dyDescent="0.4">
      <c r="A128" s="108" t="s">
        <v>635</v>
      </c>
      <c r="B128" s="108" t="s">
        <v>638</v>
      </c>
      <c r="C128" s="108" t="s">
        <v>374</v>
      </c>
      <c r="D128" s="109" t="s">
        <v>639</v>
      </c>
      <c r="E128" s="110" t="s">
        <v>463</v>
      </c>
    </row>
    <row r="129" spans="1:5" x14ac:dyDescent="0.4">
      <c r="A129" s="108" t="s">
        <v>635</v>
      </c>
      <c r="B129" s="108" t="s">
        <v>640</v>
      </c>
      <c r="C129" s="108" t="s">
        <v>374</v>
      </c>
      <c r="D129" s="109" t="s">
        <v>641</v>
      </c>
      <c r="E129" s="110" t="s">
        <v>463</v>
      </c>
    </row>
    <row r="130" spans="1:5" x14ac:dyDescent="0.4">
      <c r="A130" s="108" t="s">
        <v>635</v>
      </c>
      <c r="B130" s="108" t="s">
        <v>642</v>
      </c>
      <c r="C130" s="108" t="s">
        <v>374</v>
      </c>
      <c r="D130" s="109" t="s">
        <v>200</v>
      </c>
      <c r="E130" s="110" t="s">
        <v>463</v>
      </c>
    </row>
    <row r="131" spans="1:5" x14ac:dyDescent="0.4">
      <c r="A131" s="108" t="s">
        <v>635</v>
      </c>
      <c r="B131" s="108" t="s">
        <v>643</v>
      </c>
      <c r="C131" s="108" t="s">
        <v>374</v>
      </c>
      <c r="D131" s="109" t="s">
        <v>298</v>
      </c>
      <c r="E131" s="110" t="s">
        <v>463</v>
      </c>
    </row>
    <row r="132" spans="1:5" x14ac:dyDescent="0.4">
      <c r="A132" s="108" t="s">
        <v>635</v>
      </c>
      <c r="B132" s="108" t="s">
        <v>644</v>
      </c>
      <c r="C132" s="108" t="s">
        <v>374</v>
      </c>
      <c r="D132" s="109" t="s">
        <v>645</v>
      </c>
      <c r="E132" s="110" t="s">
        <v>463</v>
      </c>
    </row>
    <row r="133" spans="1:5" x14ac:dyDescent="0.4">
      <c r="A133" s="108" t="s">
        <v>635</v>
      </c>
      <c r="B133" s="108" t="s">
        <v>646</v>
      </c>
      <c r="C133" s="108" t="s">
        <v>374</v>
      </c>
      <c r="D133" s="109" t="s">
        <v>298</v>
      </c>
      <c r="E133" s="110" t="s">
        <v>463</v>
      </c>
    </row>
    <row r="134" spans="1:5" x14ac:dyDescent="0.4">
      <c r="A134" s="108" t="s">
        <v>635</v>
      </c>
      <c r="B134" s="108" t="s">
        <v>647</v>
      </c>
      <c r="C134" s="108" t="s">
        <v>374</v>
      </c>
      <c r="D134" s="109" t="s">
        <v>648</v>
      </c>
      <c r="E134" s="110" t="s">
        <v>463</v>
      </c>
    </row>
    <row r="135" spans="1:5" x14ac:dyDescent="0.4">
      <c r="A135" s="108" t="s">
        <v>635</v>
      </c>
      <c r="B135" s="108" t="s">
        <v>649</v>
      </c>
      <c r="C135" s="108" t="s">
        <v>374</v>
      </c>
      <c r="D135" s="109" t="s">
        <v>650</v>
      </c>
      <c r="E135" s="110" t="s">
        <v>463</v>
      </c>
    </row>
    <row r="136" spans="1:5" x14ac:dyDescent="0.4">
      <c r="A136" s="108" t="s">
        <v>635</v>
      </c>
      <c r="B136" s="108" t="s">
        <v>651</v>
      </c>
      <c r="C136" s="108" t="s">
        <v>374</v>
      </c>
      <c r="D136" s="109" t="s">
        <v>652</v>
      </c>
      <c r="E136" s="110" t="s">
        <v>463</v>
      </c>
    </row>
    <row r="137" spans="1:5" x14ac:dyDescent="0.4">
      <c r="A137" s="108" t="s">
        <v>635</v>
      </c>
      <c r="B137" s="108" t="s">
        <v>653</v>
      </c>
      <c r="C137" s="108" t="s">
        <v>374</v>
      </c>
      <c r="D137" s="109" t="s">
        <v>654</v>
      </c>
      <c r="E137" s="110" t="s">
        <v>463</v>
      </c>
    </row>
    <row r="138" spans="1:5" x14ac:dyDescent="0.4">
      <c r="A138" s="108" t="s">
        <v>635</v>
      </c>
      <c r="B138" s="108" t="s">
        <v>655</v>
      </c>
      <c r="C138" s="108" t="s">
        <v>374</v>
      </c>
      <c r="D138" s="109" t="s">
        <v>406</v>
      </c>
      <c r="E138" s="110" t="s">
        <v>463</v>
      </c>
    </row>
    <row r="139" spans="1:5" x14ac:dyDescent="0.4">
      <c r="A139" s="108" t="s">
        <v>635</v>
      </c>
      <c r="B139" s="108" t="s">
        <v>656</v>
      </c>
      <c r="C139" s="108" t="s">
        <v>374</v>
      </c>
      <c r="D139" s="109" t="s">
        <v>657</v>
      </c>
      <c r="E139" s="110" t="s">
        <v>463</v>
      </c>
    </row>
    <row r="140" spans="1:5" x14ac:dyDescent="0.4">
      <c r="A140" s="108" t="s">
        <v>635</v>
      </c>
      <c r="B140" s="108" t="s">
        <v>658</v>
      </c>
      <c r="C140" s="108" t="s">
        <v>374</v>
      </c>
      <c r="D140" s="109" t="s">
        <v>659</v>
      </c>
      <c r="E140" s="110" t="s">
        <v>463</v>
      </c>
    </row>
    <row r="141" spans="1:5" x14ac:dyDescent="0.4">
      <c r="A141" s="108" t="s">
        <v>635</v>
      </c>
      <c r="B141" s="108" t="s">
        <v>660</v>
      </c>
      <c r="C141" s="108" t="s">
        <v>374</v>
      </c>
      <c r="D141" s="109" t="s">
        <v>661</v>
      </c>
      <c r="E141" s="110" t="s">
        <v>463</v>
      </c>
    </row>
    <row r="142" spans="1:5" x14ac:dyDescent="0.4">
      <c r="A142" s="108" t="s">
        <v>635</v>
      </c>
      <c r="B142" s="108" t="s">
        <v>662</v>
      </c>
      <c r="C142" s="108" t="s">
        <v>374</v>
      </c>
      <c r="D142" s="109" t="s">
        <v>663</v>
      </c>
      <c r="E142" s="110" t="s">
        <v>463</v>
      </c>
    </row>
    <row r="143" spans="1:5" x14ac:dyDescent="0.4">
      <c r="A143" s="108" t="s">
        <v>635</v>
      </c>
      <c r="B143" s="108" t="s">
        <v>664</v>
      </c>
      <c r="C143" s="108" t="s">
        <v>374</v>
      </c>
      <c r="D143" s="109" t="s">
        <v>665</v>
      </c>
      <c r="E143" s="110" t="s">
        <v>463</v>
      </c>
    </row>
    <row r="144" spans="1:5" x14ac:dyDescent="0.4">
      <c r="A144" s="108" t="s">
        <v>635</v>
      </c>
      <c r="B144" s="108" t="s">
        <v>666</v>
      </c>
      <c r="C144" s="108" t="s">
        <v>374</v>
      </c>
      <c r="D144" s="109" t="s">
        <v>667</v>
      </c>
      <c r="E144" s="110" t="s">
        <v>463</v>
      </c>
    </row>
    <row r="145" spans="1:5" x14ac:dyDescent="0.4">
      <c r="A145" s="108" t="s">
        <v>635</v>
      </c>
      <c r="B145" s="108" t="s">
        <v>668</v>
      </c>
      <c r="C145" s="108" t="s">
        <v>374</v>
      </c>
      <c r="D145" s="109" t="s">
        <v>669</v>
      </c>
      <c r="E145" s="110" t="s">
        <v>463</v>
      </c>
    </row>
    <row r="146" spans="1:5" x14ac:dyDescent="0.4">
      <c r="A146" s="108" t="s">
        <v>635</v>
      </c>
      <c r="B146" s="108" t="s">
        <v>670</v>
      </c>
      <c r="C146" s="108" t="s">
        <v>374</v>
      </c>
      <c r="D146" s="109" t="s">
        <v>671</v>
      </c>
      <c r="E146" s="110" t="s">
        <v>463</v>
      </c>
    </row>
    <row r="147" spans="1:5" x14ac:dyDescent="0.4">
      <c r="A147" s="108" t="s">
        <v>635</v>
      </c>
      <c r="B147" s="108" t="s">
        <v>672</v>
      </c>
      <c r="C147" s="108" t="s">
        <v>374</v>
      </c>
      <c r="D147" s="109" t="s">
        <v>673</v>
      </c>
      <c r="E147" s="110" t="s">
        <v>463</v>
      </c>
    </row>
    <row r="148" spans="1:5" x14ac:dyDescent="0.4">
      <c r="A148" s="108" t="s">
        <v>635</v>
      </c>
      <c r="B148" s="108" t="s">
        <v>674</v>
      </c>
      <c r="C148" s="108" t="s">
        <v>374</v>
      </c>
      <c r="D148" s="109" t="s">
        <v>185</v>
      </c>
      <c r="E148" s="110" t="s">
        <v>463</v>
      </c>
    </row>
    <row r="149" spans="1:5" x14ac:dyDescent="0.4">
      <c r="A149" s="108" t="s">
        <v>635</v>
      </c>
      <c r="B149" s="108" t="s">
        <v>675</v>
      </c>
      <c r="C149" s="108" t="s">
        <v>374</v>
      </c>
      <c r="D149" s="109" t="s">
        <v>676</v>
      </c>
      <c r="E149" s="110" t="s">
        <v>463</v>
      </c>
    </row>
    <row r="150" spans="1:5" x14ac:dyDescent="0.4">
      <c r="A150" s="108" t="s">
        <v>635</v>
      </c>
      <c r="B150" s="108" t="s">
        <v>677</v>
      </c>
      <c r="C150" s="108" t="s">
        <v>374</v>
      </c>
      <c r="D150" s="109" t="s">
        <v>678</v>
      </c>
      <c r="E150" s="110" t="s">
        <v>463</v>
      </c>
    </row>
    <row r="151" spans="1:5" x14ac:dyDescent="0.4">
      <c r="A151" s="108" t="s">
        <v>635</v>
      </c>
      <c r="B151" s="108" t="s">
        <v>679</v>
      </c>
      <c r="C151" s="108" t="s">
        <v>374</v>
      </c>
      <c r="D151" s="109" t="s">
        <v>680</v>
      </c>
      <c r="E151" s="110" t="s">
        <v>463</v>
      </c>
    </row>
    <row r="152" spans="1:5" x14ac:dyDescent="0.4">
      <c r="A152" s="108" t="s">
        <v>635</v>
      </c>
      <c r="B152" s="108" t="s">
        <v>681</v>
      </c>
      <c r="C152" s="108" t="s">
        <v>374</v>
      </c>
      <c r="D152" s="109" t="s">
        <v>682</v>
      </c>
      <c r="E152" s="110" t="s">
        <v>463</v>
      </c>
    </row>
    <row r="153" spans="1:5" x14ac:dyDescent="0.4">
      <c r="A153" s="108" t="s">
        <v>635</v>
      </c>
      <c r="B153" s="108" t="s">
        <v>683</v>
      </c>
      <c r="C153" s="108" t="s">
        <v>374</v>
      </c>
      <c r="D153" s="109" t="s">
        <v>84</v>
      </c>
      <c r="E153" s="110" t="s">
        <v>463</v>
      </c>
    </row>
    <row r="154" spans="1:5" x14ac:dyDescent="0.4">
      <c r="A154" s="108" t="s">
        <v>635</v>
      </c>
      <c r="B154" s="108" t="s">
        <v>684</v>
      </c>
      <c r="C154" s="108" t="s">
        <v>374</v>
      </c>
      <c r="D154" s="109" t="s">
        <v>84</v>
      </c>
      <c r="E154" s="110" t="s">
        <v>463</v>
      </c>
    </row>
    <row r="155" spans="1:5" x14ac:dyDescent="0.4">
      <c r="A155" s="108" t="s">
        <v>635</v>
      </c>
      <c r="B155" s="108" t="s">
        <v>685</v>
      </c>
      <c r="C155" s="108" t="s">
        <v>374</v>
      </c>
      <c r="D155" s="109" t="s">
        <v>84</v>
      </c>
      <c r="E155" s="110" t="s">
        <v>463</v>
      </c>
    </row>
    <row r="156" spans="1:5" x14ac:dyDescent="0.4">
      <c r="A156" s="108" t="s">
        <v>635</v>
      </c>
      <c r="B156" s="108" t="s">
        <v>686</v>
      </c>
      <c r="C156" s="108" t="s">
        <v>374</v>
      </c>
      <c r="D156" s="109" t="s">
        <v>84</v>
      </c>
      <c r="E156" s="110" t="s">
        <v>463</v>
      </c>
    </row>
    <row r="157" spans="1:5" x14ac:dyDescent="0.4">
      <c r="A157" s="108" t="s">
        <v>635</v>
      </c>
      <c r="B157" s="108" t="s">
        <v>687</v>
      </c>
      <c r="C157" s="108" t="s">
        <v>374</v>
      </c>
      <c r="D157" s="109" t="s">
        <v>84</v>
      </c>
      <c r="E157" s="110" t="s">
        <v>463</v>
      </c>
    </row>
    <row r="158" spans="1:5" x14ac:dyDescent="0.4">
      <c r="A158" s="108" t="s">
        <v>635</v>
      </c>
      <c r="B158" s="108" t="s">
        <v>688</v>
      </c>
      <c r="C158" s="108" t="s">
        <v>374</v>
      </c>
      <c r="D158" s="109" t="s">
        <v>84</v>
      </c>
      <c r="E158" s="110" t="s">
        <v>463</v>
      </c>
    </row>
    <row r="159" spans="1:5" x14ac:dyDescent="0.4">
      <c r="A159" s="108" t="s">
        <v>635</v>
      </c>
      <c r="B159" s="108" t="s">
        <v>689</v>
      </c>
      <c r="C159" s="108" t="s">
        <v>374</v>
      </c>
      <c r="D159" s="109" t="s">
        <v>84</v>
      </c>
      <c r="E159" s="110" t="s">
        <v>463</v>
      </c>
    </row>
    <row r="160" spans="1:5" x14ac:dyDescent="0.4">
      <c r="A160" s="108" t="s">
        <v>635</v>
      </c>
      <c r="B160" s="108" t="s">
        <v>690</v>
      </c>
      <c r="C160" s="108" t="s">
        <v>374</v>
      </c>
      <c r="D160" s="109" t="s">
        <v>84</v>
      </c>
      <c r="E160" s="110" t="s">
        <v>463</v>
      </c>
    </row>
    <row r="161" spans="1:5" x14ac:dyDescent="0.4">
      <c r="A161" s="108" t="s">
        <v>691</v>
      </c>
      <c r="B161" s="108" t="s">
        <v>692</v>
      </c>
      <c r="C161" s="108" t="s">
        <v>374</v>
      </c>
      <c r="D161" s="109" t="s">
        <v>190</v>
      </c>
      <c r="E161" s="110" t="s">
        <v>463</v>
      </c>
    </row>
    <row r="162" spans="1:5" x14ac:dyDescent="0.4">
      <c r="A162" s="108" t="s">
        <v>691</v>
      </c>
      <c r="B162" s="108" t="s">
        <v>693</v>
      </c>
      <c r="C162" s="108" t="s">
        <v>374</v>
      </c>
      <c r="D162" s="109" t="s">
        <v>694</v>
      </c>
      <c r="E162" s="110" t="s">
        <v>463</v>
      </c>
    </row>
    <row r="163" spans="1:5" x14ac:dyDescent="0.4">
      <c r="A163" s="108" t="s">
        <v>691</v>
      </c>
      <c r="B163" s="108" t="s">
        <v>695</v>
      </c>
      <c r="C163" s="108" t="s">
        <v>374</v>
      </c>
      <c r="D163" s="109" t="s">
        <v>696</v>
      </c>
      <c r="E163" s="110" t="s">
        <v>463</v>
      </c>
    </row>
    <row r="164" spans="1:5" x14ac:dyDescent="0.4">
      <c r="A164" s="108" t="s">
        <v>697</v>
      </c>
      <c r="B164" s="108" t="s">
        <v>698</v>
      </c>
      <c r="C164" s="108" t="s">
        <v>374</v>
      </c>
      <c r="D164" s="109" t="s">
        <v>699</v>
      </c>
      <c r="E164" s="110" t="s">
        <v>463</v>
      </c>
    </row>
    <row r="165" spans="1:5" x14ac:dyDescent="0.4">
      <c r="A165" s="108" t="s">
        <v>697</v>
      </c>
      <c r="B165" s="108" t="s">
        <v>700</v>
      </c>
      <c r="C165" s="108" t="s">
        <v>374</v>
      </c>
      <c r="D165" s="109" t="s">
        <v>441</v>
      </c>
      <c r="E165" s="110" t="s">
        <v>463</v>
      </c>
    </row>
    <row r="166" spans="1:5" x14ac:dyDescent="0.4">
      <c r="A166" s="108" t="s">
        <v>697</v>
      </c>
      <c r="B166" s="108" t="s">
        <v>701</v>
      </c>
      <c r="C166" s="108" t="s">
        <v>374</v>
      </c>
      <c r="D166" s="109" t="s">
        <v>392</v>
      </c>
      <c r="E166" s="110" t="s">
        <v>463</v>
      </c>
    </row>
    <row r="167" spans="1:5" x14ac:dyDescent="0.4">
      <c r="A167" s="108" t="s">
        <v>697</v>
      </c>
      <c r="B167" s="108" t="s">
        <v>702</v>
      </c>
      <c r="C167" s="108" t="s">
        <v>374</v>
      </c>
      <c r="D167" s="109" t="s">
        <v>703</v>
      </c>
      <c r="E167" s="110" t="s">
        <v>463</v>
      </c>
    </row>
    <row r="168" spans="1:5" x14ac:dyDescent="0.4">
      <c r="A168" s="108" t="s">
        <v>697</v>
      </c>
      <c r="B168" s="108" t="s">
        <v>704</v>
      </c>
      <c r="C168" s="108" t="s">
        <v>374</v>
      </c>
      <c r="D168" s="109" t="s">
        <v>705</v>
      </c>
      <c r="E168" s="110" t="s">
        <v>463</v>
      </c>
    </row>
    <row r="169" spans="1:5" x14ac:dyDescent="0.4">
      <c r="A169" s="108" t="s">
        <v>697</v>
      </c>
      <c r="B169" s="108" t="s">
        <v>706</v>
      </c>
      <c r="C169" s="108" t="s">
        <v>374</v>
      </c>
      <c r="D169" s="109" t="s">
        <v>707</v>
      </c>
      <c r="E169" s="110" t="s">
        <v>463</v>
      </c>
    </row>
    <row r="170" spans="1:5" x14ac:dyDescent="0.4">
      <c r="A170" s="108" t="s">
        <v>697</v>
      </c>
      <c r="B170" s="108" t="s">
        <v>708</v>
      </c>
      <c r="C170" s="108" t="s">
        <v>374</v>
      </c>
      <c r="D170" s="109" t="s">
        <v>709</v>
      </c>
      <c r="E170" s="110" t="s">
        <v>463</v>
      </c>
    </row>
    <row r="171" spans="1:5" x14ac:dyDescent="0.4">
      <c r="A171" s="108" t="s">
        <v>697</v>
      </c>
      <c r="B171" s="108" t="s">
        <v>710</v>
      </c>
      <c r="C171" s="108" t="s">
        <v>374</v>
      </c>
      <c r="D171" s="109" t="s">
        <v>711</v>
      </c>
      <c r="E171" s="110" t="s">
        <v>463</v>
      </c>
    </row>
    <row r="172" spans="1:5" x14ac:dyDescent="0.4">
      <c r="A172" s="108" t="s">
        <v>697</v>
      </c>
      <c r="B172" s="108" t="s">
        <v>712</v>
      </c>
      <c r="C172" s="108" t="s">
        <v>374</v>
      </c>
      <c r="D172" s="109" t="s">
        <v>713</v>
      </c>
      <c r="E172" s="110" t="s">
        <v>463</v>
      </c>
    </row>
    <row r="173" spans="1:5" x14ac:dyDescent="0.4">
      <c r="A173" s="108" t="s">
        <v>697</v>
      </c>
      <c r="B173" s="108" t="s">
        <v>714</v>
      </c>
      <c r="C173" s="108" t="s">
        <v>374</v>
      </c>
      <c r="D173" s="109" t="s">
        <v>715</v>
      </c>
      <c r="E173" s="110" t="s">
        <v>463</v>
      </c>
    </row>
    <row r="174" spans="1:5" x14ac:dyDescent="0.4">
      <c r="A174" s="108" t="s">
        <v>697</v>
      </c>
      <c r="B174" s="108" t="s">
        <v>716</v>
      </c>
      <c r="C174" s="108" t="s">
        <v>374</v>
      </c>
      <c r="D174" s="109" t="s">
        <v>717</v>
      </c>
      <c r="E174" s="110" t="s">
        <v>463</v>
      </c>
    </row>
    <row r="175" spans="1:5" x14ac:dyDescent="0.4">
      <c r="A175" s="108" t="s">
        <v>697</v>
      </c>
      <c r="B175" s="108" t="s">
        <v>718</v>
      </c>
      <c r="C175" s="108" t="s">
        <v>374</v>
      </c>
      <c r="D175" s="109" t="s">
        <v>719</v>
      </c>
      <c r="E175" s="110" t="s">
        <v>463</v>
      </c>
    </row>
    <row r="176" spans="1:5" x14ac:dyDescent="0.4">
      <c r="A176" s="108" t="s">
        <v>391</v>
      </c>
      <c r="B176" s="108" t="s">
        <v>720</v>
      </c>
      <c r="C176" s="108" t="s">
        <v>374</v>
      </c>
      <c r="D176" s="109" t="s">
        <v>721</v>
      </c>
      <c r="E176" s="110" t="s">
        <v>463</v>
      </c>
    </row>
    <row r="177" spans="1:5" x14ac:dyDescent="0.4">
      <c r="A177" s="108" t="s">
        <v>391</v>
      </c>
      <c r="B177" s="108" t="s">
        <v>722</v>
      </c>
      <c r="C177" s="108" t="s">
        <v>374</v>
      </c>
      <c r="D177" s="109" t="s">
        <v>394</v>
      </c>
      <c r="E177" s="110" t="s">
        <v>463</v>
      </c>
    </row>
    <row r="178" spans="1:5" x14ac:dyDescent="0.4">
      <c r="A178" s="108" t="s">
        <v>391</v>
      </c>
      <c r="B178" s="108" t="s">
        <v>723</v>
      </c>
      <c r="C178" s="108" t="s">
        <v>374</v>
      </c>
      <c r="D178" s="109" t="s">
        <v>403</v>
      </c>
      <c r="E178" s="110" t="s">
        <v>463</v>
      </c>
    </row>
    <row r="179" spans="1:5" x14ac:dyDescent="0.4">
      <c r="A179" s="108" t="s">
        <v>391</v>
      </c>
      <c r="B179" s="108" t="s">
        <v>724</v>
      </c>
      <c r="C179" s="108" t="s">
        <v>374</v>
      </c>
      <c r="D179" s="109" t="s">
        <v>135</v>
      </c>
      <c r="E179" s="110" t="s">
        <v>463</v>
      </c>
    </row>
    <row r="180" spans="1:5" x14ac:dyDescent="0.4">
      <c r="A180" s="108" t="s">
        <v>391</v>
      </c>
      <c r="B180" s="108" t="s">
        <v>725</v>
      </c>
      <c r="C180" s="108" t="s">
        <v>374</v>
      </c>
      <c r="D180" s="109" t="s">
        <v>244</v>
      </c>
      <c r="E180" s="110" t="s">
        <v>463</v>
      </c>
    </row>
    <row r="181" spans="1:5" x14ac:dyDescent="0.4">
      <c r="A181" s="108" t="s">
        <v>391</v>
      </c>
      <c r="B181" s="108" t="s">
        <v>455</v>
      </c>
      <c r="C181" s="108" t="s">
        <v>374</v>
      </c>
      <c r="D181" s="109" t="s">
        <v>726</v>
      </c>
      <c r="E181" s="110" t="s">
        <v>463</v>
      </c>
    </row>
    <row r="182" spans="1:5" x14ac:dyDescent="0.4">
      <c r="A182" s="108" t="s">
        <v>391</v>
      </c>
      <c r="B182" s="108" t="s">
        <v>453</v>
      </c>
      <c r="C182" s="108" t="s">
        <v>374</v>
      </c>
      <c r="D182" s="109" t="s">
        <v>401</v>
      </c>
      <c r="E182" s="110" t="s">
        <v>463</v>
      </c>
    </row>
    <row r="183" spans="1:5" x14ac:dyDescent="0.4">
      <c r="A183" s="108" t="s">
        <v>391</v>
      </c>
      <c r="B183" s="108" t="s">
        <v>727</v>
      </c>
      <c r="C183" s="108" t="s">
        <v>374</v>
      </c>
      <c r="D183" s="109" t="s">
        <v>728</v>
      </c>
      <c r="E183" s="110" t="s">
        <v>463</v>
      </c>
    </row>
    <row r="184" spans="1:5" x14ac:dyDescent="0.4">
      <c r="A184" s="108" t="s">
        <v>391</v>
      </c>
      <c r="B184" s="108" t="s">
        <v>729</v>
      </c>
      <c r="C184" s="108" t="s">
        <v>374</v>
      </c>
      <c r="D184" s="109" t="s">
        <v>730</v>
      </c>
      <c r="E184" s="110" t="s">
        <v>463</v>
      </c>
    </row>
    <row r="185" spans="1:5" x14ac:dyDescent="0.4">
      <c r="A185" s="108" t="s">
        <v>391</v>
      </c>
      <c r="B185" s="108" t="s">
        <v>731</v>
      </c>
      <c r="C185" s="108" t="s">
        <v>374</v>
      </c>
      <c r="D185" s="109" t="s">
        <v>732</v>
      </c>
      <c r="E185" s="110" t="s">
        <v>463</v>
      </c>
    </row>
    <row r="186" spans="1:5" x14ac:dyDescent="0.4">
      <c r="A186" s="108" t="s">
        <v>391</v>
      </c>
      <c r="B186" s="108" t="s">
        <v>733</v>
      </c>
      <c r="C186" s="108" t="s">
        <v>374</v>
      </c>
      <c r="D186" s="109" t="s">
        <v>734</v>
      </c>
      <c r="E186" s="110" t="s">
        <v>463</v>
      </c>
    </row>
    <row r="187" spans="1:5" x14ac:dyDescent="0.4">
      <c r="A187" s="108" t="s">
        <v>391</v>
      </c>
      <c r="B187" s="108" t="s">
        <v>735</v>
      </c>
      <c r="C187" s="108" t="s">
        <v>374</v>
      </c>
      <c r="D187" s="109" t="s">
        <v>235</v>
      </c>
      <c r="E187" s="110" t="s">
        <v>463</v>
      </c>
    </row>
    <row r="188" spans="1:5" x14ac:dyDescent="0.4">
      <c r="A188" s="108" t="s">
        <v>391</v>
      </c>
      <c r="B188" s="108" t="s">
        <v>736</v>
      </c>
      <c r="C188" s="108" t="s">
        <v>374</v>
      </c>
      <c r="D188" s="109" t="s">
        <v>243</v>
      </c>
      <c r="E188" s="110" t="s">
        <v>463</v>
      </c>
    </row>
    <row r="189" spans="1:5" x14ac:dyDescent="0.4">
      <c r="A189" s="108" t="s">
        <v>391</v>
      </c>
      <c r="B189" s="108" t="s">
        <v>737</v>
      </c>
      <c r="C189" s="108" t="s">
        <v>374</v>
      </c>
      <c r="D189" s="109" t="s">
        <v>213</v>
      </c>
      <c r="E189" s="110" t="s">
        <v>463</v>
      </c>
    </row>
    <row r="190" spans="1:5" x14ac:dyDescent="0.4">
      <c r="A190" s="108" t="s">
        <v>391</v>
      </c>
      <c r="B190" s="108" t="s">
        <v>738</v>
      </c>
      <c r="C190" s="108" t="s">
        <v>374</v>
      </c>
      <c r="D190" s="109" t="s">
        <v>739</v>
      </c>
      <c r="E190" s="110" t="s">
        <v>463</v>
      </c>
    </row>
    <row r="191" spans="1:5" x14ac:dyDescent="0.4">
      <c r="A191" s="108" t="s">
        <v>391</v>
      </c>
      <c r="B191" s="108" t="s">
        <v>740</v>
      </c>
      <c r="C191" s="108" t="s">
        <v>374</v>
      </c>
      <c r="D191" s="109" t="s">
        <v>394</v>
      </c>
      <c r="E191" s="110" t="s">
        <v>463</v>
      </c>
    </row>
    <row r="192" spans="1:5" x14ac:dyDescent="0.4">
      <c r="A192" s="108" t="s">
        <v>391</v>
      </c>
      <c r="B192" s="108" t="s">
        <v>741</v>
      </c>
      <c r="C192" s="108" t="s">
        <v>374</v>
      </c>
      <c r="D192" s="109" t="s">
        <v>191</v>
      </c>
      <c r="E192" s="110" t="s">
        <v>463</v>
      </c>
    </row>
    <row r="193" spans="1:5" x14ac:dyDescent="0.4">
      <c r="A193" s="108" t="s">
        <v>391</v>
      </c>
      <c r="B193" s="108" t="s">
        <v>742</v>
      </c>
      <c r="C193" s="108" t="s">
        <v>374</v>
      </c>
      <c r="D193" s="109" t="s">
        <v>743</v>
      </c>
      <c r="E193" s="110" t="s">
        <v>463</v>
      </c>
    </row>
    <row r="194" spans="1:5" x14ac:dyDescent="0.4">
      <c r="A194" s="108" t="s">
        <v>391</v>
      </c>
      <c r="B194" s="108" t="s">
        <v>744</v>
      </c>
      <c r="C194" s="108" t="s">
        <v>374</v>
      </c>
      <c r="D194" s="109" t="s">
        <v>84</v>
      </c>
      <c r="E194" s="110" t="s">
        <v>463</v>
      </c>
    </row>
    <row r="195" spans="1:5" x14ac:dyDescent="0.4">
      <c r="A195" s="108" t="s">
        <v>391</v>
      </c>
      <c r="B195" s="108" t="s">
        <v>745</v>
      </c>
      <c r="C195" s="108" t="s">
        <v>374</v>
      </c>
      <c r="D195" s="109" t="s">
        <v>84</v>
      </c>
      <c r="E195" s="110" t="s">
        <v>463</v>
      </c>
    </row>
    <row r="196" spans="1:5" x14ac:dyDescent="0.4">
      <c r="A196" s="108" t="s">
        <v>391</v>
      </c>
      <c r="B196" s="108" t="s">
        <v>746</v>
      </c>
      <c r="C196" s="108" t="s">
        <v>374</v>
      </c>
      <c r="D196" s="109" t="s">
        <v>84</v>
      </c>
      <c r="E196" s="110" t="s">
        <v>463</v>
      </c>
    </row>
    <row r="197" spans="1:5" x14ac:dyDescent="0.4">
      <c r="A197" s="108" t="s">
        <v>391</v>
      </c>
      <c r="B197" s="108" t="s">
        <v>747</v>
      </c>
      <c r="C197" s="108" t="s">
        <v>374</v>
      </c>
      <c r="D197" s="109" t="s">
        <v>84</v>
      </c>
      <c r="E197" s="110" t="s">
        <v>463</v>
      </c>
    </row>
    <row r="198" spans="1:5" x14ac:dyDescent="0.4">
      <c r="A198" s="108" t="s">
        <v>410</v>
      </c>
      <c r="B198" s="108" t="s">
        <v>748</v>
      </c>
      <c r="C198" s="108" t="s">
        <v>374</v>
      </c>
      <c r="D198" s="109" t="s">
        <v>749</v>
      </c>
      <c r="E198" s="110" t="s">
        <v>463</v>
      </c>
    </row>
    <row r="199" spans="1:5" x14ac:dyDescent="0.4">
      <c r="A199" s="108" t="s">
        <v>410</v>
      </c>
      <c r="B199" s="108" t="s">
        <v>750</v>
      </c>
      <c r="C199" s="108" t="s">
        <v>374</v>
      </c>
      <c r="D199" s="109" t="s">
        <v>416</v>
      </c>
      <c r="E199" s="110" t="s">
        <v>463</v>
      </c>
    </row>
    <row r="200" spans="1:5" x14ac:dyDescent="0.4">
      <c r="A200" s="108" t="s">
        <v>410</v>
      </c>
      <c r="B200" s="108" t="s">
        <v>751</v>
      </c>
      <c r="C200" s="108" t="s">
        <v>374</v>
      </c>
      <c r="D200" s="109" t="s">
        <v>415</v>
      </c>
      <c r="E200" s="110" t="s">
        <v>463</v>
      </c>
    </row>
    <row r="201" spans="1:5" x14ac:dyDescent="0.4">
      <c r="A201" s="108" t="s">
        <v>410</v>
      </c>
      <c r="B201" s="108" t="s">
        <v>752</v>
      </c>
      <c r="C201" s="108" t="s">
        <v>374</v>
      </c>
      <c r="D201" s="109" t="s">
        <v>197</v>
      </c>
      <c r="E201" s="110" t="s">
        <v>463</v>
      </c>
    </row>
    <row r="202" spans="1:5" x14ac:dyDescent="0.4">
      <c r="A202" s="108" t="s">
        <v>410</v>
      </c>
      <c r="B202" s="108" t="s">
        <v>753</v>
      </c>
      <c r="C202" s="108" t="s">
        <v>374</v>
      </c>
      <c r="D202" s="109" t="s">
        <v>262</v>
      </c>
      <c r="E202" s="110" t="s">
        <v>463</v>
      </c>
    </row>
    <row r="203" spans="1:5" x14ac:dyDescent="0.4">
      <c r="A203" s="108" t="s">
        <v>410</v>
      </c>
      <c r="B203" s="108" t="s">
        <v>754</v>
      </c>
      <c r="C203" s="108" t="s">
        <v>374</v>
      </c>
      <c r="D203" s="109" t="s">
        <v>169</v>
      </c>
      <c r="E203" s="110" t="s">
        <v>463</v>
      </c>
    </row>
    <row r="204" spans="1:5" x14ac:dyDescent="0.4">
      <c r="A204" s="108" t="s">
        <v>410</v>
      </c>
      <c r="B204" s="108" t="s">
        <v>755</v>
      </c>
      <c r="C204" s="108" t="s">
        <v>374</v>
      </c>
      <c r="D204" s="109" t="s">
        <v>756</v>
      </c>
      <c r="E204" s="110" t="s">
        <v>463</v>
      </c>
    </row>
    <row r="205" spans="1:5" x14ac:dyDescent="0.4">
      <c r="A205" s="108" t="s">
        <v>410</v>
      </c>
      <c r="B205" s="108" t="s">
        <v>757</v>
      </c>
      <c r="C205" s="108" t="s">
        <v>374</v>
      </c>
      <c r="D205" s="109" t="s">
        <v>413</v>
      </c>
      <c r="E205" s="110" t="s">
        <v>463</v>
      </c>
    </row>
    <row r="206" spans="1:5" x14ac:dyDescent="0.4">
      <c r="A206" s="108" t="s">
        <v>410</v>
      </c>
      <c r="B206" s="108" t="s">
        <v>758</v>
      </c>
      <c r="C206" s="108" t="s">
        <v>374</v>
      </c>
      <c r="D206" s="109" t="s">
        <v>416</v>
      </c>
      <c r="E206" s="110" t="s">
        <v>463</v>
      </c>
    </row>
    <row r="207" spans="1:5" x14ac:dyDescent="0.4">
      <c r="A207" s="108" t="s">
        <v>410</v>
      </c>
      <c r="B207" s="108" t="s">
        <v>759</v>
      </c>
      <c r="C207" s="108" t="s">
        <v>374</v>
      </c>
      <c r="D207" s="109" t="s">
        <v>760</v>
      </c>
      <c r="E207" s="110" t="s">
        <v>463</v>
      </c>
    </row>
    <row r="208" spans="1:5" x14ac:dyDescent="0.4">
      <c r="A208" s="108" t="s">
        <v>410</v>
      </c>
      <c r="B208" s="108" t="s">
        <v>761</v>
      </c>
      <c r="C208" s="108" t="s">
        <v>374</v>
      </c>
      <c r="D208" s="109" t="s">
        <v>307</v>
      </c>
      <c r="E208" s="110" t="s">
        <v>463</v>
      </c>
    </row>
    <row r="209" spans="1:5" x14ac:dyDescent="0.4">
      <c r="A209" s="108" t="s">
        <v>410</v>
      </c>
      <c r="B209" s="108" t="s">
        <v>762</v>
      </c>
      <c r="C209" s="108" t="s">
        <v>374</v>
      </c>
      <c r="D209" s="109" t="s">
        <v>307</v>
      </c>
      <c r="E209" s="110" t="s">
        <v>463</v>
      </c>
    </row>
    <row r="210" spans="1:5" x14ac:dyDescent="0.4">
      <c r="A210" s="108" t="s">
        <v>410</v>
      </c>
      <c r="B210" s="108" t="s">
        <v>763</v>
      </c>
      <c r="C210" s="108" t="s">
        <v>374</v>
      </c>
      <c r="D210" s="109" t="s">
        <v>764</v>
      </c>
      <c r="E210" s="110" t="s">
        <v>463</v>
      </c>
    </row>
    <row r="211" spans="1:5" x14ac:dyDescent="0.4">
      <c r="A211" s="108" t="s">
        <v>410</v>
      </c>
      <c r="B211" s="108" t="s">
        <v>765</v>
      </c>
      <c r="C211" s="108" t="s">
        <v>374</v>
      </c>
      <c r="D211" s="109" t="s">
        <v>197</v>
      </c>
      <c r="E211" s="110" t="s">
        <v>463</v>
      </c>
    </row>
    <row r="212" spans="1:5" x14ac:dyDescent="0.4">
      <c r="A212" s="108" t="s">
        <v>410</v>
      </c>
      <c r="B212" s="108" t="s">
        <v>766</v>
      </c>
      <c r="C212" s="108" t="s">
        <v>374</v>
      </c>
      <c r="D212" s="109" t="s">
        <v>767</v>
      </c>
      <c r="E212" s="110" t="s">
        <v>463</v>
      </c>
    </row>
    <row r="213" spans="1:5" x14ac:dyDescent="0.4">
      <c r="A213" s="108" t="s">
        <v>410</v>
      </c>
      <c r="B213" s="108" t="s">
        <v>768</v>
      </c>
      <c r="C213" s="108" t="s">
        <v>374</v>
      </c>
      <c r="D213" s="109" t="s">
        <v>760</v>
      </c>
      <c r="E213" s="110" t="s">
        <v>463</v>
      </c>
    </row>
    <row r="214" spans="1:5" x14ac:dyDescent="0.4">
      <c r="A214" s="108" t="s">
        <v>410</v>
      </c>
      <c r="B214" s="108" t="s">
        <v>769</v>
      </c>
      <c r="C214" s="108" t="s">
        <v>374</v>
      </c>
      <c r="D214" s="109" t="s">
        <v>194</v>
      </c>
      <c r="E214" s="110" t="s">
        <v>463</v>
      </c>
    </row>
    <row r="215" spans="1:5" x14ac:dyDescent="0.4">
      <c r="A215" s="108" t="s">
        <v>410</v>
      </c>
      <c r="B215" s="108" t="s">
        <v>770</v>
      </c>
      <c r="C215" s="108" t="s">
        <v>374</v>
      </c>
      <c r="D215" s="109" t="s">
        <v>415</v>
      </c>
      <c r="E215" s="110" t="s">
        <v>463</v>
      </c>
    </row>
    <row r="216" spans="1:5" x14ac:dyDescent="0.4">
      <c r="A216" s="108" t="s">
        <v>410</v>
      </c>
      <c r="B216" s="108" t="s">
        <v>771</v>
      </c>
      <c r="C216" s="108" t="s">
        <v>374</v>
      </c>
      <c r="D216" s="109" t="s">
        <v>315</v>
      </c>
      <c r="E216" s="110" t="s">
        <v>463</v>
      </c>
    </row>
    <row r="217" spans="1:5" x14ac:dyDescent="0.4">
      <c r="A217" s="108" t="s">
        <v>410</v>
      </c>
      <c r="B217" s="108" t="s">
        <v>772</v>
      </c>
      <c r="C217" s="108" t="s">
        <v>374</v>
      </c>
      <c r="D217" s="109" t="s">
        <v>315</v>
      </c>
      <c r="E217" s="110" t="s">
        <v>463</v>
      </c>
    </row>
    <row r="218" spans="1:5" x14ac:dyDescent="0.4">
      <c r="A218" s="108" t="s">
        <v>410</v>
      </c>
      <c r="B218" s="108" t="s">
        <v>773</v>
      </c>
      <c r="C218" s="108" t="s">
        <v>374</v>
      </c>
      <c r="D218" s="109" t="s">
        <v>254</v>
      </c>
      <c r="E218" s="110" t="s">
        <v>463</v>
      </c>
    </row>
    <row r="219" spans="1:5" x14ac:dyDescent="0.4">
      <c r="A219" s="108" t="s">
        <v>410</v>
      </c>
      <c r="B219" s="108" t="s">
        <v>774</v>
      </c>
      <c r="C219" s="108" t="s">
        <v>374</v>
      </c>
      <c r="D219" s="109" t="s">
        <v>775</v>
      </c>
      <c r="E219" s="110" t="s">
        <v>463</v>
      </c>
    </row>
    <row r="220" spans="1:5" x14ac:dyDescent="0.4">
      <c r="A220" s="108" t="s">
        <v>410</v>
      </c>
      <c r="B220" s="108" t="s">
        <v>776</v>
      </c>
      <c r="C220" s="108" t="s">
        <v>374</v>
      </c>
      <c r="D220" s="109" t="s">
        <v>415</v>
      </c>
      <c r="E220" s="110" t="s">
        <v>463</v>
      </c>
    </row>
    <row r="221" spans="1:5" x14ac:dyDescent="0.4">
      <c r="A221" s="108" t="s">
        <v>410</v>
      </c>
      <c r="B221" s="108" t="s">
        <v>777</v>
      </c>
      <c r="C221" s="108" t="s">
        <v>374</v>
      </c>
      <c r="D221" s="109" t="s">
        <v>248</v>
      </c>
      <c r="E221" s="110" t="s">
        <v>463</v>
      </c>
    </row>
    <row r="222" spans="1:5" x14ac:dyDescent="0.4">
      <c r="A222" s="108" t="s">
        <v>410</v>
      </c>
      <c r="B222" s="108" t="s">
        <v>778</v>
      </c>
      <c r="C222" s="108" t="s">
        <v>374</v>
      </c>
      <c r="D222" s="109" t="s">
        <v>779</v>
      </c>
      <c r="E222" s="110" t="s">
        <v>463</v>
      </c>
    </row>
    <row r="223" spans="1:5" x14ac:dyDescent="0.4">
      <c r="A223" s="108" t="s">
        <v>410</v>
      </c>
      <c r="B223" s="108" t="s">
        <v>780</v>
      </c>
      <c r="C223" s="108" t="s">
        <v>374</v>
      </c>
      <c r="D223" s="109" t="s">
        <v>267</v>
      </c>
      <c r="E223" s="110" t="s">
        <v>463</v>
      </c>
    </row>
    <row r="224" spans="1:5" x14ac:dyDescent="0.4">
      <c r="A224" s="108" t="s">
        <v>410</v>
      </c>
      <c r="B224" s="108" t="s">
        <v>781</v>
      </c>
      <c r="C224" s="108" t="s">
        <v>374</v>
      </c>
      <c r="D224" s="109" t="s">
        <v>197</v>
      </c>
      <c r="E224" s="110" t="s">
        <v>463</v>
      </c>
    </row>
    <row r="225" spans="1:5" x14ac:dyDescent="0.4">
      <c r="A225" s="108" t="s">
        <v>410</v>
      </c>
      <c r="B225" s="108" t="s">
        <v>782</v>
      </c>
      <c r="C225" s="108" t="s">
        <v>374</v>
      </c>
      <c r="D225" s="109" t="s">
        <v>416</v>
      </c>
      <c r="E225" s="110" t="s">
        <v>463</v>
      </c>
    </row>
    <row r="226" spans="1:5" x14ac:dyDescent="0.4">
      <c r="A226" s="108" t="s">
        <v>410</v>
      </c>
      <c r="B226" s="108" t="s">
        <v>783</v>
      </c>
      <c r="C226" s="108" t="s">
        <v>374</v>
      </c>
      <c r="D226" s="109" t="s">
        <v>194</v>
      </c>
      <c r="E226" s="110" t="s">
        <v>463</v>
      </c>
    </row>
    <row r="227" spans="1:5" x14ac:dyDescent="0.4">
      <c r="A227" s="108" t="s">
        <v>410</v>
      </c>
      <c r="B227" s="108" t="s">
        <v>784</v>
      </c>
      <c r="C227" s="108" t="s">
        <v>374</v>
      </c>
      <c r="D227" s="109" t="s">
        <v>415</v>
      </c>
      <c r="E227" s="110" t="s">
        <v>463</v>
      </c>
    </row>
    <row r="228" spans="1:5" x14ac:dyDescent="0.4">
      <c r="A228" s="108" t="s">
        <v>410</v>
      </c>
      <c r="B228" s="108" t="s">
        <v>785</v>
      </c>
      <c r="C228" s="108" t="s">
        <v>374</v>
      </c>
      <c r="D228" s="109" t="s">
        <v>315</v>
      </c>
      <c r="E228" s="110" t="s">
        <v>463</v>
      </c>
    </row>
    <row r="229" spans="1:5" x14ac:dyDescent="0.4">
      <c r="A229" s="108" t="s">
        <v>410</v>
      </c>
      <c r="B229" s="108" t="s">
        <v>786</v>
      </c>
      <c r="C229" s="108" t="s">
        <v>374</v>
      </c>
      <c r="D229" s="109" t="s">
        <v>756</v>
      </c>
      <c r="E229" s="110" t="s">
        <v>463</v>
      </c>
    </row>
    <row r="230" spans="1:5" x14ac:dyDescent="0.4">
      <c r="A230" s="108" t="s">
        <v>410</v>
      </c>
      <c r="B230" s="108" t="s">
        <v>787</v>
      </c>
      <c r="C230" s="108" t="s">
        <v>374</v>
      </c>
      <c r="D230" s="109" t="s">
        <v>315</v>
      </c>
      <c r="E230" s="110" t="s">
        <v>463</v>
      </c>
    </row>
    <row r="231" spans="1:5" x14ac:dyDescent="0.4">
      <c r="A231" s="108" t="s">
        <v>410</v>
      </c>
      <c r="B231" s="108" t="s">
        <v>788</v>
      </c>
      <c r="C231" s="108" t="s">
        <v>374</v>
      </c>
      <c r="D231" s="109" t="s">
        <v>230</v>
      </c>
      <c r="E231" s="110" t="s">
        <v>463</v>
      </c>
    </row>
    <row r="232" spans="1:5" x14ac:dyDescent="0.4">
      <c r="A232" s="108" t="s">
        <v>410</v>
      </c>
      <c r="B232" s="108" t="s">
        <v>789</v>
      </c>
      <c r="C232" s="108" t="s">
        <v>374</v>
      </c>
      <c r="D232" s="109" t="s">
        <v>414</v>
      </c>
      <c r="E232" s="110" t="s">
        <v>463</v>
      </c>
    </row>
    <row r="233" spans="1:5" x14ac:dyDescent="0.4">
      <c r="A233" s="108" t="s">
        <v>410</v>
      </c>
      <c r="B233" s="108" t="s">
        <v>790</v>
      </c>
      <c r="C233" s="108" t="s">
        <v>374</v>
      </c>
      <c r="D233" s="109" t="s">
        <v>307</v>
      </c>
      <c r="E233" s="110" t="s">
        <v>463</v>
      </c>
    </row>
    <row r="234" spans="1:5" x14ac:dyDescent="0.4">
      <c r="A234" s="108" t="s">
        <v>410</v>
      </c>
      <c r="B234" s="108" t="s">
        <v>791</v>
      </c>
      <c r="C234" s="108" t="s">
        <v>374</v>
      </c>
      <c r="D234" s="109" t="s">
        <v>315</v>
      </c>
      <c r="E234" s="110" t="s">
        <v>463</v>
      </c>
    </row>
    <row r="235" spans="1:5" x14ac:dyDescent="0.4">
      <c r="A235" s="108" t="s">
        <v>410</v>
      </c>
      <c r="B235" s="108" t="s">
        <v>792</v>
      </c>
      <c r="C235" s="108" t="s">
        <v>374</v>
      </c>
      <c r="D235" s="109" t="s">
        <v>416</v>
      </c>
      <c r="E235" s="110" t="s">
        <v>463</v>
      </c>
    </row>
    <row r="236" spans="1:5" x14ac:dyDescent="0.4">
      <c r="A236" s="108" t="s">
        <v>410</v>
      </c>
      <c r="B236" s="108" t="s">
        <v>793</v>
      </c>
      <c r="C236" s="108" t="s">
        <v>374</v>
      </c>
      <c r="D236" s="109" t="s">
        <v>197</v>
      </c>
      <c r="E236" s="110" t="s">
        <v>463</v>
      </c>
    </row>
    <row r="237" spans="1:5" x14ac:dyDescent="0.4">
      <c r="A237" s="108" t="s">
        <v>410</v>
      </c>
      <c r="B237" s="108" t="s">
        <v>794</v>
      </c>
      <c r="C237" s="108" t="s">
        <v>374</v>
      </c>
      <c r="D237" s="109" t="s">
        <v>416</v>
      </c>
      <c r="E237" s="110" t="s">
        <v>463</v>
      </c>
    </row>
    <row r="238" spans="1:5" x14ac:dyDescent="0.4">
      <c r="A238" s="108" t="s">
        <v>410</v>
      </c>
      <c r="B238" s="108" t="s">
        <v>795</v>
      </c>
      <c r="C238" s="108" t="s">
        <v>374</v>
      </c>
      <c r="D238" s="109" t="s">
        <v>257</v>
      </c>
      <c r="E238" s="110" t="s">
        <v>463</v>
      </c>
    </row>
    <row r="239" spans="1:5" x14ac:dyDescent="0.4">
      <c r="A239" s="108" t="s">
        <v>410</v>
      </c>
      <c r="B239" s="108" t="s">
        <v>796</v>
      </c>
      <c r="C239" s="108" t="s">
        <v>374</v>
      </c>
      <c r="D239" s="109" t="s">
        <v>416</v>
      </c>
      <c r="E239" s="110" t="s">
        <v>463</v>
      </c>
    </row>
    <row r="240" spans="1:5" x14ac:dyDescent="0.4">
      <c r="A240" s="108" t="s">
        <v>410</v>
      </c>
      <c r="B240" s="108" t="s">
        <v>797</v>
      </c>
      <c r="C240" s="108" t="s">
        <v>374</v>
      </c>
      <c r="D240" s="109" t="s">
        <v>197</v>
      </c>
      <c r="E240" s="110" t="s">
        <v>463</v>
      </c>
    </row>
    <row r="241" spans="1:5" x14ac:dyDescent="0.4">
      <c r="A241" s="108" t="s">
        <v>410</v>
      </c>
      <c r="B241" s="108" t="s">
        <v>798</v>
      </c>
      <c r="C241" s="108" t="s">
        <v>374</v>
      </c>
      <c r="D241" s="109" t="s">
        <v>315</v>
      </c>
      <c r="E241" s="110" t="s">
        <v>463</v>
      </c>
    </row>
    <row r="242" spans="1:5" x14ac:dyDescent="0.4">
      <c r="A242" s="108" t="s">
        <v>410</v>
      </c>
      <c r="B242" s="108" t="s">
        <v>799</v>
      </c>
      <c r="C242" s="108" t="s">
        <v>374</v>
      </c>
      <c r="D242" s="109" t="s">
        <v>412</v>
      </c>
      <c r="E242" s="110" t="s">
        <v>463</v>
      </c>
    </row>
    <row r="243" spans="1:5" x14ac:dyDescent="0.4">
      <c r="A243" s="108" t="s">
        <v>410</v>
      </c>
      <c r="B243" s="108" t="s">
        <v>800</v>
      </c>
      <c r="C243" s="108" t="s">
        <v>374</v>
      </c>
      <c r="D243" s="109" t="s">
        <v>412</v>
      </c>
      <c r="E243" s="110" t="s">
        <v>463</v>
      </c>
    </row>
    <row r="244" spans="1:5" x14ac:dyDescent="0.4">
      <c r="A244" s="108" t="s">
        <v>410</v>
      </c>
      <c r="B244" s="108" t="s">
        <v>801</v>
      </c>
      <c r="C244" s="108" t="s">
        <v>374</v>
      </c>
      <c r="D244" s="109" t="s">
        <v>412</v>
      </c>
      <c r="E244" s="110" t="s">
        <v>463</v>
      </c>
    </row>
    <row r="245" spans="1:5" x14ac:dyDescent="0.4">
      <c r="A245" s="108" t="s">
        <v>410</v>
      </c>
      <c r="B245" s="108" t="s">
        <v>802</v>
      </c>
      <c r="C245" s="108" t="s">
        <v>374</v>
      </c>
      <c r="D245" s="109" t="s">
        <v>415</v>
      </c>
      <c r="E245" s="110" t="s">
        <v>463</v>
      </c>
    </row>
    <row r="246" spans="1:5" x14ac:dyDescent="0.4">
      <c r="A246" s="108" t="s">
        <v>410</v>
      </c>
      <c r="B246" s="108" t="s">
        <v>803</v>
      </c>
      <c r="C246" s="108" t="s">
        <v>374</v>
      </c>
      <c r="D246" s="109" t="s">
        <v>412</v>
      </c>
      <c r="E246" s="110" t="s">
        <v>463</v>
      </c>
    </row>
    <row r="247" spans="1:5" x14ac:dyDescent="0.4">
      <c r="A247" s="108" t="s">
        <v>410</v>
      </c>
      <c r="B247" s="108" t="s">
        <v>804</v>
      </c>
      <c r="C247" s="108" t="s">
        <v>374</v>
      </c>
      <c r="D247" s="109" t="s">
        <v>411</v>
      </c>
      <c r="E247" s="110" t="s">
        <v>463</v>
      </c>
    </row>
    <row r="248" spans="1:5" x14ac:dyDescent="0.4">
      <c r="A248" s="108" t="s">
        <v>410</v>
      </c>
      <c r="B248" s="108" t="s">
        <v>805</v>
      </c>
      <c r="C248" s="108" t="s">
        <v>374</v>
      </c>
      <c r="D248" s="109" t="s">
        <v>315</v>
      </c>
      <c r="E248" s="110" t="s">
        <v>463</v>
      </c>
    </row>
    <row r="249" spans="1:5" x14ac:dyDescent="0.4">
      <c r="A249" s="108" t="s">
        <v>410</v>
      </c>
      <c r="B249" s="108" t="s">
        <v>806</v>
      </c>
      <c r="C249" s="108" t="s">
        <v>374</v>
      </c>
      <c r="D249" s="109" t="s">
        <v>412</v>
      </c>
      <c r="E249" s="110" t="s">
        <v>463</v>
      </c>
    </row>
    <row r="250" spans="1:5" x14ac:dyDescent="0.4">
      <c r="A250" s="108" t="s">
        <v>410</v>
      </c>
      <c r="B250" s="108" t="s">
        <v>807</v>
      </c>
      <c r="C250" s="108" t="s">
        <v>374</v>
      </c>
      <c r="D250" s="109" t="s">
        <v>412</v>
      </c>
      <c r="E250" s="110" t="s">
        <v>463</v>
      </c>
    </row>
    <row r="251" spans="1:5" x14ac:dyDescent="0.4">
      <c r="A251" s="108" t="s">
        <v>410</v>
      </c>
      <c r="B251" s="108" t="s">
        <v>808</v>
      </c>
      <c r="C251" s="108" t="s">
        <v>374</v>
      </c>
      <c r="D251" s="109" t="s">
        <v>412</v>
      </c>
      <c r="E251" s="110" t="s">
        <v>463</v>
      </c>
    </row>
    <row r="252" spans="1:5" x14ac:dyDescent="0.4">
      <c r="A252" s="108" t="s">
        <v>410</v>
      </c>
      <c r="B252" s="108" t="s">
        <v>809</v>
      </c>
      <c r="C252" s="108" t="s">
        <v>374</v>
      </c>
      <c r="D252" s="109" t="s">
        <v>415</v>
      </c>
      <c r="E252" s="110" t="s">
        <v>463</v>
      </c>
    </row>
    <row r="253" spans="1:5" x14ac:dyDescent="0.4">
      <c r="A253" s="108" t="s">
        <v>410</v>
      </c>
      <c r="B253" s="108" t="s">
        <v>810</v>
      </c>
      <c r="C253" s="108" t="s">
        <v>374</v>
      </c>
      <c r="D253" s="109" t="s">
        <v>412</v>
      </c>
      <c r="E253" s="110" t="s">
        <v>463</v>
      </c>
    </row>
    <row r="254" spans="1:5" x14ac:dyDescent="0.4">
      <c r="A254" s="108" t="s">
        <v>410</v>
      </c>
      <c r="B254" s="108" t="s">
        <v>811</v>
      </c>
      <c r="C254" s="108" t="s">
        <v>374</v>
      </c>
      <c r="D254" s="109" t="s">
        <v>315</v>
      </c>
      <c r="E254" s="110" t="s">
        <v>463</v>
      </c>
    </row>
    <row r="255" spans="1:5" x14ac:dyDescent="0.4">
      <c r="A255" s="108" t="s">
        <v>410</v>
      </c>
      <c r="B255" s="108" t="s">
        <v>812</v>
      </c>
      <c r="C255" s="108" t="s">
        <v>374</v>
      </c>
      <c r="D255" s="109" t="s">
        <v>412</v>
      </c>
      <c r="E255" s="110" t="s">
        <v>463</v>
      </c>
    </row>
    <row r="256" spans="1:5" x14ac:dyDescent="0.4">
      <c r="A256" s="108" t="s">
        <v>410</v>
      </c>
      <c r="B256" s="108" t="s">
        <v>813</v>
      </c>
      <c r="C256" s="108" t="s">
        <v>374</v>
      </c>
      <c r="D256" s="109" t="s">
        <v>415</v>
      </c>
      <c r="E256" s="110" t="s">
        <v>463</v>
      </c>
    </row>
    <row r="257" spans="1:5" x14ac:dyDescent="0.4">
      <c r="A257" s="108" t="s">
        <v>410</v>
      </c>
      <c r="B257" s="108" t="s">
        <v>814</v>
      </c>
      <c r="C257" s="108" t="s">
        <v>374</v>
      </c>
      <c r="D257" s="109" t="s">
        <v>315</v>
      </c>
      <c r="E257" s="110" t="s">
        <v>463</v>
      </c>
    </row>
    <row r="258" spans="1:5" x14ac:dyDescent="0.4">
      <c r="A258" s="108" t="s">
        <v>410</v>
      </c>
      <c r="B258" s="108" t="s">
        <v>815</v>
      </c>
      <c r="C258" s="108" t="s">
        <v>374</v>
      </c>
      <c r="D258" s="109" t="s">
        <v>315</v>
      </c>
      <c r="E258" s="110" t="s">
        <v>463</v>
      </c>
    </row>
    <row r="259" spans="1:5" x14ac:dyDescent="0.4">
      <c r="A259" s="108" t="s">
        <v>387</v>
      </c>
      <c r="B259" s="108" t="s">
        <v>816</v>
      </c>
      <c r="C259" s="108" t="s">
        <v>374</v>
      </c>
      <c r="D259" s="109" t="s">
        <v>817</v>
      </c>
      <c r="E259" s="110" t="s">
        <v>463</v>
      </c>
    </row>
    <row r="260" spans="1:5" x14ac:dyDescent="0.4">
      <c r="A260" s="108" t="s">
        <v>387</v>
      </c>
      <c r="B260" s="108" t="s">
        <v>818</v>
      </c>
      <c r="C260" s="108" t="s">
        <v>374</v>
      </c>
      <c r="D260" s="109" t="s">
        <v>819</v>
      </c>
      <c r="E260" s="110" t="s">
        <v>463</v>
      </c>
    </row>
    <row r="261" spans="1:5" x14ac:dyDescent="0.4">
      <c r="A261" s="108" t="s">
        <v>387</v>
      </c>
      <c r="B261" s="108" t="s">
        <v>820</v>
      </c>
      <c r="C261" s="108" t="s">
        <v>374</v>
      </c>
      <c r="D261" s="109" t="s">
        <v>821</v>
      </c>
      <c r="E261" s="110" t="s">
        <v>463</v>
      </c>
    </row>
    <row r="262" spans="1:5" x14ac:dyDescent="0.4">
      <c r="A262" s="108" t="s">
        <v>387</v>
      </c>
      <c r="B262" s="108" t="s">
        <v>822</v>
      </c>
      <c r="C262" s="108" t="s">
        <v>374</v>
      </c>
      <c r="D262" s="109" t="s">
        <v>562</v>
      </c>
      <c r="E262" s="110" t="s">
        <v>463</v>
      </c>
    </row>
    <row r="263" spans="1:5" x14ac:dyDescent="0.4">
      <c r="A263" s="108" t="s">
        <v>387</v>
      </c>
      <c r="B263" s="108" t="s">
        <v>823</v>
      </c>
      <c r="C263" s="108" t="s">
        <v>374</v>
      </c>
      <c r="D263" s="109" t="s">
        <v>226</v>
      </c>
      <c r="E263" s="110" t="s">
        <v>463</v>
      </c>
    </row>
    <row r="264" spans="1:5" x14ac:dyDescent="0.4">
      <c r="A264" s="108" t="s">
        <v>387</v>
      </c>
      <c r="B264" s="108" t="s">
        <v>452</v>
      </c>
      <c r="C264" s="108" t="s">
        <v>374</v>
      </c>
      <c r="D264" s="109" t="s">
        <v>663</v>
      </c>
      <c r="E264" s="110" t="s">
        <v>463</v>
      </c>
    </row>
    <row r="265" spans="1:5" x14ac:dyDescent="0.4">
      <c r="A265" s="108" t="s">
        <v>387</v>
      </c>
      <c r="B265" s="108" t="s">
        <v>824</v>
      </c>
      <c r="C265" s="108" t="s">
        <v>374</v>
      </c>
      <c r="D265" s="109" t="s">
        <v>825</v>
      </c>
      <c r="E265" s="110" t="s">
        <v>463</v>
      </c>
    </row>
    <row r="266" spans="1:5" x14ac:dyDescent="0.4">
      <c r="A266" s="108" t="s">
        <v>387</v>
      </c>
      <c r="B266" s="108" t="s">
        <v>826</v>
      </c>
      <c r="C266" s="108" t="s">
        <v>374</v>
      </c>
      <c r="D266" s="109" t="s">
        <v>827</v>
      </c>
      <c r="E266" s="110" t="s">
        <v>463</v>
      </c>
    </row>
    <row r="267" spans="1:5" x14ac:dyDescent="0.4">
      <c r="A267" s="108" t="s">
        <v>387</v>
      </c>
      <c r="B267" s="108" t="s">
        <v>828</v>
      </c>
      <c r="C267" s="108" t="s">
        <v>374</v>
      </c>
      <c r="D267" s="109" t="s">
        <v>829</v>
      </c>
      <c r="E267" s="110" t="s">
        <v>463</v>
      </c>
    </row>
    <row r="268" spans="1:5" x14ac:dyDescent="0.4">
      <c r="A268" s="108" t="s">
        <v>387</v>
      </c>
      <c r="B268" s="108" t="s">
        <v>830</v>
      </c>
      <c r="C268" s="108" t="s">
        <v>374</v>
      </c>
      <c r="D268" s="109" t="s">
        <v>831</v>
      </c>
      <c r="E268" s="110" t="s">
        <v>463</v>
      </c>
    </row>
    <row r="269" spans="1:5" x14ac:dyDescent="0.4">
      <c r="A269" s="108" t="s">
        <v>387</v>
      </c>
      <c r="B269" s="108" t="s">
        <v>832</v>
      </c>
      <c r="C269" s="108" t="s">
        <v>374</v>
      </c>
      <c r="D269" s="109" t="s">
        <v>250</v>
      </c>
      <c r="E269" s="110" t="s">
        <v>463</v>
      </c>
    </row>
    <row r="270" spans="1:5" x14ac:dyDescent="0.4">
      <c r="A270" s="108" t="s">
        <v>387</v>
      </c>
      <c r="B270" s="108" t="s">
        <v>833</v>
      </c>
      <c r="C270" s="108" t="s">
        <v>374</v>
      </c>
      <c r="D270" s="109" t="s">
        <v>834</v>
      </c>
      <c r="E270" s="110" t="s">
        <v>463</v>
      </c>
    </row>
    <row r="271" spans="1:5" x14ac:dyDescent="0.4">
      <c r="A271" s="108" t="s">
        <v>387</v>
      </c>
      <c r="B271" s="108" t="s">
        <v>835</v>
      </c>
      <c r="C271" s="108" t="s">
        <v>374</v>
      </c>
      <c r="D271" s="109" t="s">
        <v>318</v>
      </c>
      <c r="E271" s="110" t="s">
        <v>463</v>
      </c>
    </row>
    <row r="272" spans="1:5" x14ac:dyDescent="0.4">
      <c r="A272" s="108" t="s">
        <v>387</v>
      </c>
      <c r="B272" s="108" t="s">
        <v>836</v>
      </c>
      <c r="C272" s="108" t="s">
        <v>374</v>
      </c>
      <c r="D272" s="109" t="s">
        <v>837</v>
      </c>
      <c r="E272" s="110" t="s">
        <v>463</v>
      </c>
    </row>
    <row r="273" spans="1:5" x14ac:dyDescent="0.4">
      <c r="A273" s="108" t="s">
        <v>387</v>
      </c>
      <c r="B273" s="108" t="s">
        <v>838</v>
      </c>
      <c r="C273" s="108" t="s">
        <v>374</v>
      </c>
      <c r="D273" s="109" t="s">
        <v>839</v>
      </c>
      <c r="E273" s="110" t="s">
        <v>463</v>
      </c>
    </row>
    <row r="274" spans="1:5" x14ac:dyDescent="0.4">
      <c r="A274" s="108" t="s">
        <v>387</v>
      </c>
      <c r="B274" s="108" t="s">
        <v>840</v>
      </c>
      <c r="C274" s="108" t="s">
        <v>374</v>
      </c>
      <c r="D274" s="109" t="s">
        <v>841</v>
      </c>
      <c r="E274" s="110" t="s">
        <v>463</v>
      </c>
    </row>
    <row r="275" spans="1:5" x14ac:dyDescent="0.4">
      <c r="A275" s="108" t="s">
        <v>387</v>
      </c>
      <c r="B275" s="108" t="s">
        <v>842</v>
      </c>
      <c r="C275" s="108" t="s">
        <v>374</v>
      </c>
      <c r="D275" s="109" t="s">
        <v>843</v>
      </c>
      <c r="E275" s="110" t="s">
        <v>463</v>
      </c>
    </row>
    <row r="276" spans="1:5" x14ac:dyDescent="0.4">
      <c r="A276" s="108" t="s">
        <v>387</v>
      </c>
      <c r="B276" s="108" t="s">
        <v>844</v>
      </c>
      <c r="C276" s="108" t="s">
        <v>374</v>
      </c>
      <c r="D276" s="109" t="s">
        <v>845</v>
      </c>
      <c r="E276" s="110" t="s">
        <v>463</v>
      </c>
    </row>
    <row r="277" spans="1:5" x14ac:dyDescent="0.4">
      <c r="A277" s="108" t="s">
        <v>387</v>
      </c>
      <c r="B277" s="108" t="s">
        <v>846</v>
      </c>
      <c r="C277" s="108" t="s">
        <v>374</v>
      </c>
      <c r="D277" s="109" t="s">
        <v>393</v>
      </c>
      <c r="E277" s="110" t="s">
        <v>463</v>
      </c>
    </row>
    <row r="278" spans="1:5" x14ac:dyDescent="0.4">
      <c r="A278" s="108" t="s">
        <v>387</v>
      </c>
      <c r="B278" s="108" t="s">
        <v>847</v>
      </c>
      <c r="C278" s="108" t="s">
        <v>374</v>
      </c>
      <c r="D278" s="109" t="s">
        <v>848</v>
      </c>
      <c r="E278" s="110" t="s">
        <v>463</v>
      </c>
    </row>
    <row r="279" spans="1:5" x14ac:dyDescent="0.4">
      <c r="A279" s="108" t="s">
        <v>387</v>
      </c>
      <c r="B279" s="108" t="s">
        <v>849</v>
      </c>
      <c r="C279" s="108" t="s">
        <v>374</v>
      </c>
      <c r="D279" s="109" t="s">
        <v>850</v>
      </c>
      <c r="E279" s="110" t="s">
        <v>463</v>
      </c>
    </row>
    <row r="280" spans="1:5" x14ac:dyDescent="0.4">
      <c r="A280" s="108" t="s">
        <v>387</v>
      </c>
      <c r="B280" s="108" t="s">
        <v>851</v>
      </c>
      <c r="C280" s="108" t="s">
        <v>374</v>
      </c>
      <c r="D280" s="109" t="s">
        <v>242</v>
      </c>
      <c r="E280" s="110" t="s">
        <v>463</v>
      </c>
    </row>
    <row r="281" spans="1:5" x14ac:dyDescent="0.4">
      <c r="A281" s="108" t="s">
        <v>387</v>
      </c>
      <c r="B281" s="108" t="s">
        <v>852</v>
      </c>
      <c r="C281" s="108" t="s">
        <v>374</v>
      </c>
      <c r="D281" s="109" t="s">
        <v>853</v>
      </c>
      <c r="E281" s="110" t="s">
        <v>463</v>
      </c>
    </row>
    <row r="282" spans="1:5" x14ac:dyDescent="0.4">
      <c r="A282" s="108" t="s">
        <v>387</v>
      </c>
      <c r="B282" s="108" t="s">
        <v>854</v>
      </c>
      <c r="C282" s="108" t="s">
        <v>374</v>
      </c>
      <c r="D282" s="109" t="s">
        <v>294</v>
      </c>
      <c r="E282" s="110" t="s">
        <v>463</v>
      </c>
    </row>
    <row r="283" spans="1:5" x14ac:dyDescent="0.4">
      <c r="A283" s="108" t="s">
        <v>387</v>
      </c>
      <c r="B283" s="108" t="s">
        <v>855</v>
      </c>
      <c r="C283" s="108" t="s">
        <v>374</v>
      </c>
      <c r="D283" s="109" t="s">
        <v>856</v>
      </c>
      <c r="E283" s="110" t="s">
        <v>463</v>
      </c>
    </row>
    <row r="284" spans="1:5" x14ac:dyDescent="0.4">
      <c r="A284" s="108" t="s">
        <v>387</v>
      </c>
      <c r="B284" s="108" t="s">
        <v>857</v>
      </c>
      <c r="C284" s="108" t="s">
        <v>374</v>
      </c>
      <c r="D284" s="109" t="s">
        <v>84</v>
      </c>
      <c r="E284" s="110" t="s">
        <v>463</v>
      </c>
    </row>
    <row r="285" spans="1:5" x14ac:dyDescent="0.4">
      <c r="A285" s="108" t="s">
        <v>387</v>
      </c>
      <c r="B285" s="108" t="s">
        <v>858</v>
      </c>
      <c r="C285" s="108" t="s">
        <v>374</v>
      </c>
      <c r="D285" s="109" t="s">
        <v>84</v>
      </c>
      <c r="E285" s="110" t="s">
        <v>463</v>
      </c>
    </row>
    <row r="286" spans="1:5" x14ac:dyDescent="0.4">
      <c r="A286" s="108" t="s">
        <v>387</v>
      </c>
      <c r="B286" s="108" t="s">
        <v>859</v>
      </c>
      <c r="C286" s="108" t="s">
        <v>374</v>
      </c>
      <c r="D286" s="109" t="s">
        <v>84</v>
      </c>
      <c r="E286" s="110" t="s">
        <v>463</v>
      </c>
    </row>
    <row r="287" spans="1:5" x14ac:dyDescent="0.4">
      <c r="A287" s="108" t="s">
        <v>387</v>
      </c>
      <c r="B287" s="108" t="s">
        <v>860</v>
      </c>
      <c r="C287" s="108" t="s">
        <v>374</v>
      </c>
      <c r="D287" s="109" t="s">
        <v>84</v>
      </c>
      <c r="E287" s="110" t="s">
        <v>463</v>
      </c>
    </row>
    <row r="288" spans="1:5" x14ac:dyDescent="0.4">
      <c r="A288" s="108" t="s">
        <v>387</v>
      </c>
      <c r="B288" s="108" t="s">
        <v>861</v>
      </c>
      <c r="C288" s="108" t="s">
        <v>374</v>
      </c>
      <c r="D288" s="109" t="s">
        <v>84</v>
      </c>
      <c r="E288" s="110" t="s">
        <v>463</v>
      </c>
    </row>
    <row r="289" spans="1:5" x14ac:dyDescent="0.4">
      <c r="A289" s="108" t="s">
        <v>387</v>
      </c>
      <c r="B289" s="108" t="s">
        <v>862</v>
      </c>
      <c r="C289" s="108" t="s">
        <v>374</v>
      </c>
      <c r="D289" s="109" t="s">
        <v>84</v>
      </c>
      <c r="E289" s="110" t="s">
        <v>463</v>
      </c>
    </row>
    <row r="290" spans="1:5" x14ac:dyDescent="0.4">
      <c r="A290" s="108" t="s">
        <v>387</v>
      </c>
      <c r="B290" s="108" t="s">
        <v>863</v>
      </c>
      <c r="C290" s="108" t="s">
        <v>374</v>
      </c>
      <c r="D290" s="109" t="s">
        <v>84</v>
      </c>
      <c r="E290" s="110" t="s">
        <v>463</v>
      </c>
    </row>
    <row r="291" spans="1:5" x14ac:dyDescent="0.4">
      <c r="A291" s="108" t="s">
        <v>387</v>
      </c>
      <c r="B291" s="108" t="s">
        <v>864</v>
      </c>
      <c r="C291" s="108" t="s">
        <v>374</v>
      </c>
      <c r="D291" s="109" t="s">
        <v>84</v>
      </c>
      <c r="E291" s="110" t="s">
        <v>463</v>
      </c>
    </row>
    <row r="292" spans="1:5" x14ac:dyDescent="0.4">
      <c r="A292" s="108" t="s">
        <v>387</v>
      </c>
      <c r="B292" s="108" t="s">
        <v>865</v>
      </c>
      <c r="C292" s="108" t="s">
        <v>374</v>
      </c>
      <c r="D292" s="109" t="s">
        <v>84</v>
      </c>
      <c r="E292" s="110" t="s">
        <v>463</v>
      </c>
    </row>
    <row r="293" spans="1:5" x14ac:dyDescent="0.4">
      <c r="A293" s="108" t="s">
        <v>388</v>
      </c>
      <c r="B293" s="108" t="s">
        <v>454</v>
      </c>
      <c r="C293" s="108" t="s">
        <v>374</v>
      </c>
      <c r="D293" s="109" t="s">
        <v>866</v>
      </c>
      <c r="E293" s="110" t="s">
        <v>463</v>
      </c>
    </row>
    <row r="294" spans="1:5" x14ac:dyDescent="0.4">
      <c r="A294" s="108" t="s">
        <v>388</v>
      </c>
      <c r="B294" s="108" t="s">
        <v>457</v>
      </c>
      <c r="C294" s="108" t="s">
        <v>374</v>
      </c>
      <c r="D294" s="109" t="s">
        <v>867</v>
      </c>
      <c r="E294" s="110" t="s">
        <v>463</v>
      </c>
    </row>
    <row r="295" spans="1:5" x14ac:dyDescent="0.4">
      <c r="A295" s="108" t="s">
        <v>388</v>
      </c>
      <c r="B295" s="108" t="s">
        <v>868</v>
      </c>
      <c r="C295" s="108" t="s">
        <v>374</v>
      </c>
      <c r="D295" s="109" t="s">
        <v>217</v>
      </c>
      <c r="E295" s="110" t="s">
        <v>463</v>
      </c>
    </row>
    <row r="296" spans="1:5" x14ac:dyDescent="0.4">
      <c r="A296" s="108" t="s">
        <v>388</v>
      </c>
      <c r="B296" s="108" t="s">
        <v>869</v>
      </c>
      <c r="C296" s="108" t="s">
        <v>374</v>
      </c>
      <c r="D296" s="109" t="s">
        <v>291</v>
      </c>
      <c r="E296" s="110" t="s">
        <v>463</v>
      </c>
    </row>
    <row r="297" spans="1:5" x14ac:dyDescent="0.4">
      <c r="A297" s="108" t="s">
        <v>388</v>
      </c>
      <c r="B297" s="108" t="s">
        <v>870</v>
      </c>
      <c r="C297" s="108" t="s">
        <v>374</v>
      </c>
      <c r="D297" s="109" t="s">
        <v>871</v>
      </c>
      <c r="E297" s="110" t="s">
        <v>463</v>
      </c>
    </row>
    <row r="298" spans="1:5" x14ac:dyDescent="0.4">
      <c r="A298" s="108" t="s">
        <v>388</v>
      </c>
      <c r="B298" s="108" t="s">
        <v>872</v>
      </c>
      <c r="C298" s="108" t="s">
        <v>374</v>
      </c>
      <c r="D298" s="109" t="s">
        <v>873</v>
      </c>
      <c r="E298" s="110" t="s">
        <v>463</v>
      </c>
    </row>
    <row r="299" spans="1:5" x14ac:dyDescent="0.4">
      <c r="A299" s="108" t="s">
        <v>388</v>
      </c>
      <c r="B299" s="108" t="s">
        <v>874</v>
      </c>
      <c r="C299" s="108" t="s">
        <v>374</v>
      </c>
      <c r="D299" s="109" t="s">
        <v>875</v>
      </c>
      <c r="E299" s="110" t="s">
        <v>463</v>
      </c>
    </row>
    <row r="300" spans="1:5" x14ac:dyDescent="0.4">
      <c r="A300" s="108" t="s">
        <v>388</v>
      </c>
      <c r="B300" s="108" t="s">
        <v>876</v>
      </c>
      <c r="C300" s="108" t="s">
        <v>374</v>
      </c>
      <c r="D300" s="109" t="s">
        <v>877</v>
      </c>
      <c r="E300" s="110" t="s">
        <v>463</v>
      </c>
    </row>
    <row r="301" spans="1:5" x14ac:dyDescent="0.4">
      <c r="A301" s="108" t="s">
        <v>388</v>
      </c>
      <c r="B301" s="108" t="s">
        <v>878</v>
      </c>
      <c r="C301" s="108" t="s">
        <v>374</v>
      </c>
      <c r="D301" s="109" t="s">
        <v>879</v>
      </c>
      <c r="E301" s="110" t="s">
        <v>463</v>
      </c>
    </row>
    <row r="302" spans="1:5" x14ac:dyDescent="0.4">
      <c r="A302" s="108" t="s">
        <v>388</v>
      </c>
      <c r="B302" s="108" t="s">
        <v>456</v>
      </c>
      <c r="C302" s="108" t="s">
        <v>374</v>
      </c>
      <c r="D302" s="109" t="s">
        <v>880</v>
      </c>
      <c r="E302" s="110" t="s">
        <v>463</v>
      </c>
    </row>
    <row r="303" spans="1:5" x14ac:dyDescent="0.4">
      <c r="A303" s="108" t="s">
        <v>388</v>
      </c>
      <c r="B303" s="108" t="s">
        <v>881</v>
      </c>
      <c r="C303" s="108" t="s">
        <v>374</v>
      </c>
      <c r="D303" s="109" t="s">
        <v>882</v>
      </c>
      <c r="E303" s="110" t="s">
        <v>463</v>
      </c>
    </row>
    <row r="304" spans="1:5" x14ac:dyDescent="0.4">
      <c r="A304" s="108" t="s">
        <v>388</v>
      </c>
      <c r="B304" s="108" t="s">
        <v>883</v>
      </c>
      <c r="C304" s="108" t="s">
        <v>374</v>
      </c>
      <c r="D304" s="109" t="s">
        <v>884</v>
      </c>
      <c r="E304" s="110" t="s">
        <v>463</v>
      </c>
    </row>
    <row r="305" spans="1:5" x14ac:dyDescent="0.4">
      <c r="A305" s="108" t="s">
        <v>388</v>
      </c>
      <c r="B305" s="108" t="s">
        <v>885</v>
      </c>
      <c r="C305" s="108" t="s">
        <v>374</v>
      </c>
      <c r="D305" s="109" t="s">
        <v>886</v>
      </c>
      <c r="E305" s="110" t="s">
        <v>463</v>
      </c>
    </row>
    <row r="306" spans="1:5" x14ac:dyDescent="0.4">
      <c r="A306" s="108" t="s">
        <v>388</v>
      </c>
      <c r="B306" s="108" t="s">
        <v>887</v>
      </c>
      <c r="C306" s="108" t="s">
        <v>374</v>
      </c>
      <c r="D306" s="109" t="s">
        <v>888</v>
      </c>
      <c r="E306" s="110" t="s">
        <v>463</v>
      </c>
    </row>
    <row r="307" spans="1:5" x14ac:dyDescent="0.4">
      <c r="A307" s="108" t="s">
        <v>388</v>
      </c>
      <c r="B307" s="108" t="s">
        <v>889</v>
      </c>
      <c r="C307" s="108" t="s">
        <v>374</v>
      </c>
      <c r="D307" s="109" t="s">
        <v>224</v>
      </c>
      <c r="E307" s="110" t="s">
        <v>463</v>
      </c>
    </row>
    <row r="308" spans="1:5" x14ac:dyDescent="0.4">
      <c r="A308" s="108" t="s">
        <v>388</v>
      </c>
      <c r="B308" s="108" t="s">
        <v>890</v>
      </c>
      <c r="C308" s="108" t="s">
        <v>374</v>
      </c>
      <c r="D308" s="109" t="s">
        <v>891</v>
      </c>
      <c r="E308" s="110" t="s">
        <v>463</v>
      </c>
    </row>
    <row r="309" spans="1:5" x14ac:dyDescent="0.4">
      <c r="A309" s="108" t="s">
        <v>388</v>
      </c>
      <c r="B309" s="108" t="s">
        <v>892</v>
      </c>
      <c r="C309" s="108" t="s">
        <v>374</v>
      </c>
      <c r="D309" s="109" t="s">
        <v>179</v>
      </c>
      <c r="E309" s="110" t="s">
        <v>463</v>
      </c>
    </row>
    <row r="310" spans="1:5" x14ac:dyDescent="0.4">
      <c r="A310" s="108" t="s">
        <v>388</v>
      </c>
      <c r="B310" s="108" t="s">
        <v>893</v>
      </c>
      <c r="C310" s="108" t="s">
        <v>374</v>
      </c>
      <c r="D310" s="109" t="s">
        <v>894</v>
      </c>
      <c r="E310" s="110" t="s">
        <v>463</v>
      </c>
    </row>
    <row r="311" spans="1:5" x14ac:dyDescent="0.4">
      <c r="A311" s="108" t="s">
        <v>388</v>
      </c>
      <c r="B311" s="108" t="s">
        <v>895</v>
      </c>
      <c r="C311" s="108" t="s">
        <v>374</v>
      </c>
      <c r="D311" s="109" t="s">
        <v>203</v>
      </c>
      <c r="E311" s="110" t="s">
        <v>463</v>
      </c>
    </row>
    <row r="312" spans="1:5" x14ac:dyDescent="0.4">
      <c r="A312" s="108" t="s">
        <v>388</v>
      </c>
      <c r="B312" s="108" t="s">
        <v>896</v>
      </c>
      <c r="C312" s="108" t="s">
        <v>374</v>
      </c>
      <c r="D312" s="109" t="s">
        <v>897</v>
      </c>
      <c r="E312" s="110" t="s">
        <v>463</v>
      </c>
    </row>
    <row r="313" spans="1:5" x14ac:dyDescent="0.4">
      <c r="A313" s="108" t="s">
        <v>388</v>
      </c>
      <c r="B313" s="108" t="s">
        <v>898</v>
      </c>
      <c r="C313" s="108" t="s">
        <v>374</v>
      </c>
      <c r="D313" s="109" t="s">
        <v>899</v>
      </c>
      <c r="E313" s="110" t="s">
        <v>463</v>
      </c>
    </row>
    <row r="314" spans="1:5" x14ac:dyDescent="0.4">
      <c r="A314" s="108" t="s">
        <v>388</v>
      </c>
      <c r="B314" s="108" t="s">
        <v>900</v>
      </c>
      <c r="C314" s="108" t="s">
        <v>374</v>
      </c>
      <c r="D314" s="109" t="s">
        <v>398</v>
      </c>
      <c r="E314" s="110" t="s">
        <v>463</v>
      </c>
    </row>
    <row r="315" spans="1:5" x14ac:dyDescent="0.4">
      <c r="A315" s="108" t="s">
        <v>388</v>
      </c>
      <c r="B315" s="108" t="s">
        <v>901</v>
      </c>
      <c r="C315" s="108" t="s">
        <v>374</v>
      </c>
      <c r="D315" s="109" t="s">
        <v>902</v>
      </c>
      <c r="E315" s="110" t="s">
        <v>463</v>
      </c>
    </row>
    <row r="316" spans="1:5" x14ac:dyDescent="0.4">
      <c r="A316" s="108" t="s">
        <v>388</v>
      </c>
      <c r="B316" s="108" t="s">
        <v>903</v>
      </c>
      <c r="C316" s="108" t="s">
        <v>374</v>
      </c>
      <c r="D316" s="109" t="s">
        <v>904</v>
      </c>
      <c r="E316" s="110" t="s">
        <v>463</v>
      </c>
    </row>
    <row r="317" spans="1:5" x14ac:dyDescent="0.4">
      <c r="A317" s="108" t="s">
        <v>388</v>
      </c>
      <c r="B317" s="108" t="s">
        <v>905</v>
      </c>
      <c r="C317" s="108" t="s">
        <v>374</v>
      </c>
      <c r="D317" s="109" t="s">
        <v>423</v>
      </c>
      <c r="E317" s="110" t="s">
        <v>463</v>
      </c>
    </row>
    <row r="318" spans="1:5" x14ac:dyDescent="0.4">
      <c r="A318" s="108" t="s">
        <v>388</v>
      </c>
      <c r="B318" s="108" t="s">
        <v>906</v>
      </c>
      <c r="C318" s="108" t="s">
        <v>374</v>
      </c>
      <c r="D318" s="109" t="s">
        <v>694</v>
      </c>
      <c r="E318" s="110" t="s">
        <v>463</v>
      </c>
    </row>
    <row r="319" spans="1:5" x14ac:dyDescent="0.4">
      <c r="A319" s="108" t="s">
        <v>388</v>
      </c>
      <c r="B319" s="108" t="s">
        <v>907</v>
      </c>
      <c r="C319" s="108" t="s">
        <v>374</v>
      </c>
      <c r="D319" s="109" t="s">
        <v>434</v>
      </c>
      <c r="E319" s="110" t="s">
        <v>463</v>
      </c>
    </row>
    <row r="320" spans="1:5" x14ac:dyDescent="0.4">
      <c r="A320" s="108" t="s">
        <v>388</v>
      </c>
      <c r="B320" s="108" t="s">
        <v>908</v>
      </c>
      <c r="C320" s="108" t="s">
        <v>374</v>
      </c>
      <c r="D320" s="109" t="s">
        <v>909</v>
      </c>
      <c r="E320" s="110" t="s">
        <v>463</v>
      </c>
    </row>
    <row r="321" spans="1:5" x14ac:dyDescent="0.4">
      <c r="A321" s="108" t="s">
        <v>388</v>
      </c>
      <c r="B321" s="108" t="s">
        <v>910</v>
      </c>
      <c r="C321" s="108" t="s">
        <v>374</v>
      </c>
      <c r="D321" s="109" t="s">
        <v>911</v>
      </c>
      <c r="E321" s="110" t="s">
        <v>463</v>
      </c>
    </row>
    <row r="322" spans="1:5" x14ac:dyDescent="0.4">
      <c r="A322" s="108" t="s">
        <v>388</v>
      </c>
      <c r="B322" s="108" t="s">
        <v>912</v>
      </c>
      <c r="C322" s="108" t="s">
        <v>374</v>
      </c>
      <c r="D322" s="109" t="s">
        <v>913</v>
      </c>
      <c r="E322" s="110" t="s">
        <v>463</v>
      </c>
    </row>
    <row r="323" spans="1:5" x14ac:dyDescent="0.4">
      <c r="A323" s="108" t="s">
        <v>388</v>
      </c>
      <c r="B323" s="108" t="s">
        <v>914</v>
      </c>
      <c r="C323" s="108" t="s">
        <v>374</v>
      </c>
      <c r="D323" s="109" t="s">
        <v>915</v>
      </c>
      <c r="E323" s="110" t="s">
        <v>463</v>
      </c>
    </row>
    <row r="324" spans="1:5" x14ac:dyDescent="0.4">
      <c r="A324" s="108" t="s">
        <v>388</v>
      </c>
      <c r="B324" s="108" t="s">
        <v>916</v>
      </c>
      <c r="C324" s="108" t="s">
        <v>374</v>
      </c>
      <c r="D324" s="109" t="s">
        <v>917</v>
      </c>
      <c r="E324" s="110" t="s">
        <v>463</v>
      </c>
    </row>
    <row r="325" spans="1:5" x14ac:dyDescent="0.4">
      <c r="A325" s="108" t="s">
        <v>388</v>
      </c>
      <c r="B325" s="108" t="s">
        <v>918</v>
      </c>
      <c r="C325" s="108" t="s">
        <v>374</v>
      </c>
      <c r="D325" s="109" t="s">
        <v>919</v>
      </c>
      <c r="E325" s="110" t="s">
        <v>463</v>
      </c>
    </row>
    <row r="326" spans="1:5" x14ac:dyDescent="0.4">
      <c r="A326" s="108" t="s">
        <v>388</v>
      </c>
      <c r="B326" s="108" t="s">
        <v>920</v>
      </c>
      <c r="C326" s="108" t="s">
        <v>374</v>
      </c>
      <c r="D326" s="109" t="s">
        <v>921</v>
      </c>
      <c r="E326" s="110" t="s">
        <v>463</v>
      </c>
    </row>
    <row r="327" spans="1:5" x14ac:dyDescent="0.4">
      <c r="A327" s="108" t="s">
        <v>388</v>
      </c>
      <c r="B327" s="108" t="s">
        <v>922</v>
      </c>
      <c r="C327" s="108" t="s">
        <v>374</v>
      </c>
      <c r="D327" s="109" t="s">
        <v>923</v>
      </c>
      <c r="E327" s="110" t="s">
        <v>463</v>
      </c>
    </row>
    <row r="328" spans="1:5" x14ac:dyDescent="0.4">
      <c r="A328" s="108" t="s">
        <v>388</v>
      </c>
      <c r="B328" s="108" t="s">
        <v>924</v>
      </c>
      <c r="C328" s="108" t="s">
        <v>374</v>
      </c>
      <c r="D328" s="109" t="s">
        <v>925</v>
      </c>
      <c r="E328" s="110" t="s">
        <v>463</v>
      </c>
    </row>
    <row r="329" spans="1:5" x14ac:dyDescent="0.4">
      <c r="A329" s="108" t="s">
        <v>388</v>
      </c>
      <c r="B329" s="108" t="s">
        <v>926</v>
      </c>
      <c r="C329" s="108" t="s">
        <v>374</v>
      </c>
      <c r="D329" s="109" t="s">
        <v>927</v>
      </c>
      <c r="E329" s="110" t="s">
        <v>463</v>
      </c>
    </row>
    <row r="330" spans="1:5" x14ac:dyDescent="0.4">
      <c r="A330" s="108" t="s">
        <v>388</v>
      </c>
      <c r="B330" s="108" t="s">
        <v>928</v>
      </c>
      <c r="C330" s="108" t="s">
        <v>374</v>
      </c>
      <c r="D330" s="109" t="s">
        <v>929</v>
      </c>
      <c r="E330" s="110" t="s">
        <v>463</v>
      </c>
    </row>
    <row r="331" spans="1:5" x14ac:dyDescent="0.4">
      <c r="A331" s="108" t="s">
        <v>388</v>
      </c>
      <c r="B331" s="108" t="s">
        <v>930</v>
      </c>
      <c r="C331" s="108" t="s">
        <v>374</v>
      </c>
      <c r="D331" s="109" t="s">
        <v>931</v>
      </c>
      <c r="E331" s="110" t="s">
        <v>463</v>
      </c>
    </row>
    <row r="332" spans="1:5" x14ac:dyDescent="0.4">
      <c r="A332" s="108" t="s">
        <v>388</v>
      </c>
      <c r="B332" s="108" t="s">
        <v>932</v>
      </c>
      <c r="C332" s="108" t="s">
        <v>374</v>
      </c>
      <c r="D332" s="109" t="s">
        <v>933</v>
      </c>
      <c r="E332" s="110" t="s">
        <v>463</v>
      </c>
    </row>
    <row r="333" spans="1:5" x14ac:dyDescent="0.4">
      <c r="A333" s="108" t="s">
        <v>388</v>
      </c>
      <c r="B333" s="108" t="s">
        <v>934</v>
      </c>
      <c r="C333" s="108" t="s">
        <v>374</v>
      </c>
      <c r="D333" s="109" t="s">
        <v>935</v>
      </c>
      <c r="E333" s="110" t="s">
        <v>463</v>
      </c>
    </row>
    <row r="334" spans="1:5" x14ac:dyDescent="0.4">
      <c r="A334" s="108" t="s">
        <v>388</v>
      </c>
      <c r="B334" s="108" t="s">
        <v>936</v>
      </c>
      <c r="C334" s="108" t="s">
        <v>374</v>
      </c>
      <c r="D334" s="109" t="s">
        <v>384</v>
      </c>
      <c r="E334" s="110" t="s">
        <v>463</v>
      </c>
    </row>
    <row r="335" spans="1:5" x14ac:dyDescent="0.4">
      <c r="A335" s="108" t="s">
        <v>388</v>
      </c>
      <c r="B335" s="108" t="s">
        <v>937</v>
      </c>
      <c r="C335" s="108" t="s">
        <v>374</v>
      </c>
      <c r="D335" s="109" t="s">
        <v>938</v>
      </c>
      <c r="E335" s="110" t="s">
        <v>463</v>
      </c>
    </row>
    <row r="336" spans="1:5" x14ac:dyDescent="0.4">
      <c r="A336" s="108" t="s">
        <v>388</v>
      </c>
      <c r="B336" s="108" t="s">
        <v>939</v>
      </c>
      <c r="C336" s="108" t="s">
        <v>374</v>
      </c>
      <c r="D336" s="109" t="s">
        <v>400</v>
      </c>
      <c r="E336" s="110" t="s">
        <v>463</v>
      </c>
    </row>
    <row r="337" spans="1:5" x14ac:dyDescent="0.4">
      <c r="A337" s="108" t="s">
        <v>388</v>
      </c>
      <c r="B337" s="108" t="s">
        <v>940</v>
      </c>
      <c r="C337" s="108" t="s">
        <v>374</v>
      </c>
      <c r="D337" s="109" t="s">
        <v>941</v>
      </c>
      <c r="E337" s="110" t="s">
        <v>463</v>
      </c>
    </row>
    <row r="338" spans="1:5" x14ac:dyDescent="0.4">
      <c r="A338" s="108" t="s">
        <v>388</v>
      </c>
      <c r="B338" s="108" t="s">
        <v>942</v>
      </c>
      <c r="C338" s="108" t="s">
        <v>374</v>
      </c>
      <c r="D338" s="109" t="s">
        <v>943</v>
      </c>
      <c r="E338" s="110" t="s">
        <v>463</v>
      </c>
    </row>
    <row r="339" spans="1:5" x14ac:dyDescent="0.4">
      <c r="A339" s="108" t="s">
        <v>388</v>
      </c>
      <c r="B339" s="108" t="s">
        <v>944</v>
      </c>
      <c r="C339" s="108" t="s">
        <v>374</v>
      </c>
      <c r="D339" s="109" t="s">
        <v>945</v>
      </c>
      <c r="E339" s="110" t="s">
        <v>463</v>
      </c>
    </row>
    <row r="340" spans="1:5" x14ac:dyDescent="0.4">
      <c r="A340" s="108" t="s">
        <v>388</v>
      </c>
      <c r="B340" s="108" t="s">
        <v>946</v>
      </c>
      <c r="C340" s="108" t="s">
        <v>374</v>
      </c>
      <c r="D340" s="109" t="s">
        <v>947</v>
      </c>
      <c r="E340" s="110" t="s">
        <v>463</v>
      </c>
    </row>
    <row r="341" spans="1:5" x14ac:dyDescent="0.4">
      <c r="A341" s="108" t="s">
        <v>388</v>
      </c>
      <c r="B341" s="108" t="s">
        <v>948</v>
      </c>
      <c r="C341" s="108" t="s">
        <v>374</v>
      </c>
      <c r="D341" s="109" t="s">
        <v>949</v>
      </c>
      <c r="E341" s="110" t="s">
        <v>463</v>
      </c>
    </row>
    <row r="342" spans="1:5" x14ac:dyDescent="0.4">
      <c r="A342" s="108" t="s">
        <v>388</v>
      </c>
      <c r="B342" s="108" t="s">
        <v>950</v>
      </c>
      <c r="C342" s="108" t="s">
        <v>374</v>
      </c>
      <c r="D342" s="109" t="s">
        <v>239</v>
      </c>
      <c r="E342" s="110" t="s">
        <v>463</v>
      </c>
    </row>
    <row r="343" spans="1:5" x14ac:dyDescent="0.4">
      <c r="A343" s="108" t="s">
        <v>388</v>
      </c>
      <c r="B343" s="108" t="s">
        <v>951</v>
      </c>
      <c r="C343" s="108" t="s">
        <v>374</v>
      </c>
      <c r="D343" s="109" t="s">
        <v>232</v>
      </c>
      <c r="E343" s="110" t="s">
        <v>463</v>
      </c>
    </row>
    <row r="344" spans="1:5" x14ac:dyDescent="0.4">
      <c r="A344" s="108" t="s">
        <v>388</v>
      </c>
      <c r="B344" s="108" t="s">
        <v>952</v>
      </c>
      <c r="C344" s="108" t="s">
        <v>374</v>
      </c>
      <c r="D344" s="109" t="s">
        <v>953</v>
      </c>
      <c r="E344" s="110" t="s">
        <v>463</v>
      </c>
    </row>
    <row r="345" spans="1:5" x14ac:dyDescent="0.4">
      <c r="A345" s="108" t="s">
        <v>388</v>
      </c>
      <c r="B345" s="108" t="s">
        <v>954</v>
      </c>
      <c r="C345" s="108" t="s">
        <v>374</v>
      </c>
      <c r="D345" s="109" t="s">
        <v>433</v>
      </c>
      <c r="E345" s="110" t="s">
        <v>463</v>
      </c>
    </row>
    <row r="346" spans="1:5" x14ac:dyDescent="0.4">
      <c r="A346" s="108" t="s">
        <v>388</v>
      </c>
      <c r="B346" s="108" t="s">
        <v>955</v>
      </c>
      <c r="C346" s="108" t="s">
        <v>374</v>
      </c>
      <c r="D346" s="109" t="s">
        <v>956</v>
      </c>
      <c r="E346" s="110" t="s">
        <v>463</v>
      </c>
    </row>
    <row r="347" spans="1:5" x14ac:dyDescent="0.4">
      <c r="A347" s="108" t="s">
        <v>388</v>
      </c>
      <c r="B347" s="108" t="s">
        <v>957</v>
      </c>
      <c r="C347" s="108" t="s">
        <v>374</v>
      </c>
      <c r="D347" s="109" t="s">
        <v>240</v>
      </c>
      <c r="E347" s="110" t="s">
        <v>463</v>
      </c>
    </row>
    <row r="348" spans="1:5" x14ac:dyDescent="0.4">
      <c r="A348" s="108" t="s">
        <v>388</v>
      </c>
      <c r="B348" s="108" t="s">
        <v>958</v>
      </c>
      <c r="C348" s="108" t="s">
        <v>374</v>
      </c>
      <c r="D348" s="109" t="s">
        <v>959</v>
      </c>
      <c r="E348" s="110" t="s">
        <v>463</v>
      </c>
    </row>
    <row r="349" spans="1:5" x14ac:dyDescent="0.4">
      <c r="A349" s="108" t="s">
        <v>388</v>
      </c>
      <c r="B349" s="108" t="s">
        <v>960</v>
      </c>
      <c r="C349" s="108" t="s">
        <v>374</v>
      </c>
      <c r="D349" s="109" t="s">
        <v>961</v>
      </c>
      <c r="E349" s="110" t="s">
        <v>463</v>
      </c>
    </row>
    <row r="350" spans="1:5" x14ac:dyDescent="0.4">
      <c r="A350" s="108" t="s">
        <v>388</v>
      </c>
      <c r="B350" s="108" t="s">
        <v>962</v>
      </c>
      <c r="C350" s="108" t="s">
        <v>374</v>
      </c>
      <c r="D350" s="109" t="s">
        <v>963</v>
      </c>
      <c r="E350" s="110" t="s">
        <v>463</v>
      </c>
    </row>
    <row r="351" spans="1:5" x14ac:dyDescent="0.4">
      <c r="A351" s="108" t="s">
        <v>388</v>
      </c>
      <c r="B351" s="108" t="s">
        <v>964</v>
      </c>
      <c r="C351" s="108" t="s">
        <v>374</v>
      </c>
      <c r="D351" s="109" t="s">
        <v>402</v>
      </c>
      <c r="E351" s="110" t="s">
        <v>463</v>
      </c>
    </row>
    <row r="352" spans="1:5" x14ac:dyDescent="0.4">
      <c r="A352" s="108" t="s">
        <v>388</v>
      </c>
      <c r="B352" s="108" t="s">
        <v>965</v>
      </c>
      <c r="C352" s="108" t="s">
        <v>374</v>
      </c>
      <c r="D352" s="109" t="s">
        <v>297</v>
      </c>
      <c r="E352" s="110" t="s">
        <v>463</v>
      </c>
    </row>
    <row r="353" spans="1:5" x14ac:dyDescent="0.4">
      <c r="A353" s="108" t="s">
        <v>388</v>
      </c>
      <c r="B353" s="108" t="s">
        <v>966</v>
      </c>
      <c r="C353" s="108" t="s">
        <v>374</v>
      </c>
      <c r="D353" s="109" t="s">
        <v>407</v>
      </c>
      <c r="E353" s="110" t="s">
        <v>463</v>
      </c>
    </row>
    <row r="354" spans="1:5" x14ac:dyDescent="0.4">
      <c r="A354" s="108" t="s">
        <v>388</v>
      </c>
      <c r="B354" s="108" t="s">
        <v>967</v>
      </c>
      <c r="C354" s="108" t="s">
        <v>374</v>
      </c>
      <c r="D354" s="109" t="s">
        <v>137</v>
      </c>
      <c r="E354" s="110" t="s">
        <v>463</v>
      </c>
    </row>
    <row r="355" spans="1:5" x14ac:dyDescent="0.4">
      <c r="A355" s="108" t="s">
        <v>388</v>
      </c>
      <c r="B355" s="108" t="s">
        <v>968</v>
      </c>
      <c r="C355" s="108" t="s">
        <v>374</v>
      </c>
      <c r="D355" s="109" t="s">
        <v>131</v>
      </c>
      <c r="E355" s="110" t="s">
        <v>463</v>
      </c>
    </row>
    <row r="356" spans="1:5" x14ac:dyDescent="0.4">
      <c r="A356" s="108" t="s">
        <v>388</v>
      </c>
      <c r="B356" s="108" t="s">
        <v>969</v>
      </c>
      <c r="C356" s="108" t="s">
        <v>374</v>
      </c>
      <c r="D356" s="109" t="s">
        <v>84</v>
      </c>
      <c r="E356" s="110" t="s">
        <v>463</v>
      </c>
    </row>
    <row r="357" spans="1:5" x14ac:dyDescent="0.4">
      <c r="A357" s="108" t="s">
        <v>388</v>
      </c>
      <c r="B357" s="108" t="s">
        <v>970</v>
      </c>
      <c r="C357" s="108" t="s">
        <v>374</v>
      </c>
      <c r="D357" s="109" t="s">
        <v>84</v>
      </c>
      <c r="E357" s="110" t="s">
        <v>463</v>
      </c>
    </row>
    <row r="358" spans="1:5" x14ac:dyDescent="0.4">
      <c r="A358" s="108" t="s">
        <v>388</v>
      </c>
      <c r="B358" s="108" t="s">
        <v>971</v>
      </c>
      <c r="C358" s="108" t="s">
        <v>374</v>
      </c>
      <c r="D358" s="109" t="s">
        <v>84</v>
      </c>
      <c r="E358" s="110" t="s">
        <v>463</v>
      </c>
    </row>
    <row r="359" spans="1:5" x14ac:dyDescent="0.4">
      <c r="A359" s="108" t="s">
        <v>388</v>
      </c>
      <c r="B359" s="108" t="s">
        <v>972</v>
      </c>
      <c r="C359" s="108" t="s">
        <v>374</v>
      </c>
      <c r="D359" s="109" t="s">
        <v>84</v>
      </c>
      <c r="E359" s="110" t="s">
        <v>463</v>
      </c>
    </row>
    <row r="360" spans="1:5" x14ac:dyDescent="0.4">
      <c r="A360" s="108" t="s">
        <v>388</v>
      </c>
      <c r="B360" s="108" t="s">
        <v>973</v>
      </c>
      <c r="C360" s="108" t="s">
        <v>374</v>
      </c>
      <c r="D360" s="109" t="s">
        <v>84</v>
      </c>
      <c r="E360" s="110" t="s">
        <v>463</v>
      </c>
    </row>
    <row r="361" spans="1:5" x14ac:dyDescent="0.4">
      <c r="A361" s="108" t="s">
        <v>388</v>
      </c>
      <c r="B361" s="108" t="s">
        <v>974</v>
      </c>
      <c r="C361" s="108" t="s">
        <v>374</v>
      </c>
      <c r="D361" s="109" t="s">
        <v>84</v>
      </c>
      <c r="E361" s="110" t="s">
        <v>463</v>
      </c>
    </row>
    <row r="362" spans="1:5" x14ac:dyDescent="0.4">
      <c r="A362" s="108" t="s">
        <v>388</v>
      </c>
      <c r="B362" s="108" t="s">
        <v>975</v>
      </c>
      <c r="C362" s="108" t="s">
        <v>374</v>
      </c>
      <c r="D362" s="109" t="s">
        <v>84</v>
      </c>
      <c r="E362" s="110" t="s">
        <v>463</v>
      </c>
    </row>
    <row r="363" spans="1:5" x14ac:dyDescent="0.4">
      <c r="A363" s="108" t="s">
        <v>388</v>
      </c>
      <c r="B363" s="108" t="s">
        <v>976</v>
      </c>
      <c r="C363" s="108" t="s">
        <v>374</v>
      </c>
      <c r="D363" s="109" t="s">
        <v>84</v>
      </c>
      <c r="E363" s="110" t="s">
        <v>463</v>
      </c>
    </row>
    <row r="364" spans="1:5" x14ac:dyDescent="0.4">
      <c r="A364" s="108" t="s">
        <v>388</v>
      </c>
      <c r="B364" s="108" t="s">
        <v>977</v>
      </c>
      <c r="C364" s="108" t="s">
        <v>374</v>
      </c>
      <c r="D364" s="109" t="s">
        <v>84</v>
      </c>
      <c r="E364" s="110" t="s">
        <v>463</v>
      </c>
    </row>
    <row r="365" spans="1:5" x14ac:dyDescent="0.4">
      <c r="A365" s="108" t="s">
        <v>388</v>
      </c>
      <c r="B365" s="108" t="s">
        <v>978</v>
      </c>
      <c r="C365" s="108" t="s">
        <v>374</v>
      </c>
      <c r="D365" s="109" t="s">
        <v>84</v>
      </c>
      <c r="E365" s="110" t="s">
        <v>463</v>
      </c>
    </row>
    <row r="366" spans="1:5" x14ac:dyDescent="0.4">
      <c r="A366" s="108" t="s">
        <v>388</v>
      </c>
      <c r="B366" s="108" t="s">
        <v>979</v>
      </c>
      <c r="C366" s="108" t="s">
        <v>374</v>
      </c>
      <c r="D366" s="109" t="s">
        <v>84</v>
      </c>
      <c r="E366" s="110" t="s">
        <v>463</v>
      </c>
    </row>
    <row r="367" spans="1:5" x14ac:dyDescent="0.4">
      <c r="A367" s="108" t="s">
        <v>388</v>
      </c>
      <c r="B367" s="108" t="s">
        <v>980</v>
      </c>
      <c r="C367" s="108" t="s">
        <v>374</v>
      </c>
      <c r="D367" s="109" t="s">
        <v>84</v>
      </c>
      <c r="E367" s="110" t="s">
        <v>463</v>
      </c>
    </row>
    <row r="368" spans="1:5" x14ac:dyDescent="0.4">
      <c r="A368" s="108" t="s">
        <v>388</v>
      </c>
      <c r="B368" s="108" t="s">
        <v>981</v>
      </c>
      <c r="C368" s="108" t="s">
        <v>374</v>
      </c>
      <c r="D368" s="109" t="s">
        <v>84</v>
      </c>
      <c r="E368" s="110" t="s">
        <v>463</v>
      </c>
    </row>
    <row r="369" spans="1:5" x14ac:dyDescent="0.4">
      <c r="A369" s="108" t="s">
        <v>388</v>
      </c>
      <c r="B369" s="108" t="s">
        <v>982</v>
      </c>
      <c r="C369" s="108" t="s">
        <v>374</v>
      </c>
      <c r="D369" s="109" t="s">
        <v>84</v>
      </c>
      <c r="E369" s="110" t="s">
        <v>463</v>
      </c>
    </row>
    <row r="370" spans="1:5" x14ac:dyDescent="0.4">
      <c r="A370" s="108" t="s">
        <v>388</v>
      </c>
      <c r="B370" s="108" t="s">
        <v>983</v>
      </c>
      <c r="C370" s="108" t="s">
        <v>374</v>
      </c>
      <c r="D370" s="109" t="s">
        <v>84</v>
      </c>
      <c r="E370" s="110" t="s">
        <v>463</v>
      </c>
    </row>
    <row r="371" spans="1:5" x14ac:dyDescent="0.4">
      <c r="A371" s="108" t="s">
        <v>388</v>
      </c>
      <c r="B371" s="108" t="s">
        <v>982</v>
      </c>
      <c r="C371" s="108" t="s">
        <v>374</v>
      </c>
      <c r="D371" s="109" t="s">
        <v>84</v>
      </c>
      <c r="E371" s="110" t="s">
        <v>463</v>
      </c>
    </row>
    <row r="372" spans="1:5" x14ac:dyDescent="0.4">
      <c r="A372" s="108" t="s">
        <v>388</v>
      </c>
      <c r="B372" s="108" t="s">
        <v>984</v>
      </c>
      <c r="C372" s="108" t="s">
        <v>374</v>
      </c>
      <c r="D372" s="109" t="s">
        <v>84</v>
      </c>
      <c r="E372" s="110" t="s">
        <v>463</v>
      </c>
    </row>
    <row r="373" spans="1:5" x14ac:dyDescent="0.4">
      <c r="A373" s="108" t="s">
        <v>388</v>
      </c>
      <c r="B373" s="108" t="s">
        <v>985</v>
      </c>
      <c r="C373" s="108" t="s">
        <v>374</v>
      </c>
      <c r="D373" s="109" t="s">
        <v>84</v>
      </c>
      <c r="E373" s="110" t="s">
        <v>463</v>
      </c>
    </row>
    <row r="374" spans="1:5" x14ac:dyDescent="0.4">
      <c r="A374" s="108" t="s">
        <v>388</v>
      </c>
      <c r="B374" s="108" t="s">
        <v>986</v>
      </c>
      <c r="C374" s="108" t="s">
        <v>374</v>
      </c>
      <c r="D374" s="109" t="s">
        <v>84</v>
      </c>
      <c r="E374" s="110" t="s">
        <v>463</v>
      </c>
    </row>
    <row r="375" spans="1:5" x14ac:dyDescent="0.4">
      <c r="A375" s="108" t="s">
        <v>388</v>
      </c>
      <c r="B375" s="108" t="s">
        <v>987</v>
      </c>
      <c r="C375" s="108" t="s">
        <v>374</v>
      </c>
      <c r="D375" s="109" t="s">
        <v>84</v>
      </c>
      <c r="E375" s="110" t="s">
        <v>463</v>
      </c>
    </row>
    <row r="376" spans="1:5" x14ac:dyDescent="0.4">
      <c r="A376" s="108" t="s">
        <v>388</v>
      </c>
      <c r="B376" s="108" t="s">
        <v>988</v>
      </c>
      <c r="C376" s="108" t="s">
        <v>374</v>
      </c>
      <c r="D376" s="109" t="s">
        <v>84</v>
      </c>
      <c r="E376" s="110" t="s">
        <v>463</v>
      </c>
    </row>
    <row r="377" spans="1:5" x14ac:dyDescent="0.4">
      <c r="A377" s="108" t="s">
        <v>388</v>
      </c>
      <c r="B377" s="108" t="s">
        <v>989</v>
      </c>
      <c r="C377" s="108" t="s">
        <v>374</v>
      </c>
      <c r="D377" s="109" t="s">
        <v>84</v>
      </c>
      <c r="E377" s="110" t="s">
        <v>463</v>
      </c>
    </row>
    <row r="378" spans="1:5" x14ac:dyDescent="0.4">
      <c r="A378" s="108" t="s">
        <v>388</v>
      </c>
      <c r="B378" s="108" t="s">
        <v>990</v>
      </c>
      <c r="C378" s="108" t="s">
        <v>374</v>
      </c>
      <c r="D378" s="109" t="s">
        <v>84</v>
      </c>
      <c r="E378" s="110" t="s">
        <v>463</v>
      </c>
    </row>
    <row r="379" spans="1:5" x14ac:dyDescent="0.4">
      <c r="A379" s="108" t="s">
        <v>388</v>
      </c>
      <c r="B379" s="108" t="s">
        <v>991</v>
      </c>
      <c r="C379" s="108" t="s">
        <v>374</v>
      </c>
      <c r="D379" s="109" t="s">
        <v>84</v>
      </c>
      <c r="E379" s="110" t="s">
        <v>463</v>
      </c>
    </row>
    <row r="380" spans="1:5" x14ac:dyDescent="0.4">
      <c r="A380" s="108" t="s">
        <v>388</v>
      </c>
      <c r="B380" s="108" t="s">
        <v>992</v>
      </c>
      <c r="C380" s="108" t="s">
        <v>374</v>
      </c>
      <c r="D380" s="109" t="s">
        <v>84</v>
      </c>
      <c r="E380" s="110" t="s">
        <v>463</v>
      </c>
    </row>
    <row r="381" spans="1:5" x14ac:dyDescent="0.4">
      <c r="A381" s="108" t="s">
        <v>388</v>
      </c>
      <c r="B381" s="108" t="s">
        <v>993</v>
      </c>
      <c r="C381" s="108" t="s">
        <v>374</v>
      </c>
      <c r="D381" s="109" t="s">
        <v>84</v>
      </c>
      <c r="E381" s="110" t="s">
        <v>463</v>
      </c>
    </row>
    <row r="382" spans="1:5" x14ac:dyDescent="0.4">
      <c r="A382" s="108" t="s">
        <v>388</v>
      </c>
      <c r="B382" s="108" t="s">
        <v>994</v>
      </c>
      <c r="C382" s="108" t="s">
        <v>374</v>
      </c>
      <c r="D382" s="109" t="s">
        <v>84</v>
      </c>
      <c r="E382" s="110" t="s">
        <v>463</v>
      </c>
    </row>
    <row r="383" spans="1:5" x14ac:dyDescent="0.4">
      <c r="A383" s="108" t="s">
        <v>388</v>
      </c>
      <c r="B383" s="108" t="s">
        <v>995</v>
      </c>
      <c r="C383" s="108" t="s">
        <v>374</v>
      </c>
      <c r="D383" s="109" t="s">
        <v>84</v>
      </c>
      <c r="E383" s="110" t="s">
        <v>463</v>
      </c>
    </row>
    <row r="384" spans="1:5" x14ac:dyDescent="0.4">
      <c r="A384" s="108" t="s">
        <v>635</v>
      </c>
      <c r="B384" s="108" t="s">
        <v>996</v>
      </c>
      <c r="C384" s="108" t="s">
        <v>374</v>
      </c>
      <c r="D384" s="109" t="s">
        <v>309</v>
      </c>
      <c r="E384" s="110" t="s">
        <v>463</v>
      </c>
    </row>
    <row r="385" spans="1:5" x14ac:dyDescent="0.4">
      <c r="A385" s="108" t="s">
        <v>635</v>
      </c>
      <c r="B385" s="108" t="s">
        <v>997</v>
      </c>
      <c r="C385" s="108" t="s">
        <v>374</v>
      </c>
      <c r="D385" s="109" t="s">
        <v>319</v>
      </c>
      <c r="E385" s="110" t="s">
        <v>463</v>
      </c>
    </row>
    <row r="386" spans="1:5" x14ac:dyDescent="0.4">
      <c r="A386" s="108" t="s">
        <v>635</v>
      </c>
      <c r="B386" s="108" t="s">
        <v>998</v>
      </c>
      <c r="C386" s="108" t="s">
        <v>374</v>
      </c>
      <c r="D386" s="109" t="s">
        <v>999</v>
      </c>
      <c r="E386" s="110" t="s">
        <v>463</v>
      </c>
    </row>
    <row r="387" spans="1:5" x14ac:dyDescent="0.4">
      <c r="A387" s="108" t="s">
        <v>635</v>
      </c>
      <c r="B387" s="108" t="s">
        <v>1000</v>
      </c>
      <c r="C387" s="108" t="s">
        <v>374</v>
      </c>
      <c r="D387" s="109" t="s">
        <v>1001</v>
      </c>
      <c r="E387" s="110" t="s">
        <v>463</v>
      </c>
    </row>
    <row r="388" spans="1:5" x14ac:dyDescent="0.4">
      <c r="A388" s="108" t="s">
        <v>635</v>
      </c>
      <c r="B388" s="108" t="s">
        <v>1002</v>
      </c>
      <c r="C388" s="108" t="s">
        <v>374</v>
      </c>
      <c r="D388" s="109" t="s">
        <v>1003</v>
      </c>
      <c r="E388" s="110" t="s">
        <v>463</v>
      </c>
    </row>
    <row r="389" spans="1:5" x14ac:dyDescent="0.4">
      <c r="A389" s="108" t="s">
        <v>635</v>
      </c>
      <c r="B389" s="108" t="s">
        <v>1004</v>
      </c>
      <c r="C389" s="108" t="s">
        <v>374</v>
      </c>
      <c r="D389" s="109" t="s">
        <v>288</v>
      </c>
      <c r="E389" s="110" t="s">
        <v>463</v>
      </c>
    </row>
    <row r="390" spans="1:5" x14ac:dyDescent="0.4">
      <c r="A390" s="108" t="s">
        <v>635</v>
      </c>
      <c r="B390" s="108" t="s">
        <v>1005</v>
      </c>
      <c r="C390" s="108" t="s">
        <v>374</v>
      </c>
      <c r="D390" s="109" t="s">
        <v>1006</v>
      </c>
      <c r="E390" s="110" t="s">
        <v>463</v>
      </c>
    </row>
    <row r="391" spans="1:5" x14ac:dyDescent="0.4">
      <c r="A391" s="108" t="s">
        <v>373</v>
      </c>
      <c r="B391" s="108" t="s">
        <v>450</v>
      </c>
      <c r="C391" s="108" t="s">
        <v>374</v>
      </c>
      <c r="D391" s="109" t="s">
        <v>1007</v>
      </c>
      <c r="E391" s="110" t="s">
        <v>463</v>
      </c>
    </row>
    <row r="392" spans="1:5" x14ac:dyDescent="0.4">
      <c r="A392" s="108" t="s">
        <v>373</v>
      </c>
      <c r="B392" s="108" t="s">
        <v>1008</v>
      </c>
      <c r="C392" s="108" t="s">
        <v>374</v>
      </c>
      <c r="D392" s="109" t="s">
        <v>271</v>
      </c>
      <c r="E392" s="110" t="s">
        <v>463</v>
      </c>
    </row>
    <row r="393" spans="1:5" x14ac:dyDescent="0.4">
      <c r="A393" s="108" t="s">
        <v>373</v>
      </c>
      <c r="B393" s="108" t="s">
        <v>1009</v>
      </c>
      <c r="C393" s="108" t="s">
        <v>374</v>
      </c>
      <c r="D393" s="109" t="s">
        <v>395</v>
      </c>
      <c r="E393" s="110" t="s">
        <v>463</v>
      </c>
    </row>
    <row r="394" spans="1:5" x14ac:dyDescent="0.4">
      <c r="A394" s="108" t="s">
        <v>373</v>
      </c>
      <c r="B394" s="108" t="s">
        <v>1010</v>
      </c>
      <c r="C394" s="108" t="s">
        <v>374</v>
      </c>
      <c r="D394" s="109" t="s">
        <v>1011</v>
      </c>
      <c r="E394" s="110" t="s">
        <v>463</v>
      </c>
    </row>
    <row r="395" spans="1:5" x14ac:dyDescent="0.4">
      <c r="A395" s="108" t="s">
        <v>373</v>
      </c>
      <c r="B395" s="108" t="s">
        <v>1012</v>
      </c>
      <c r="C395" s="108" t="s">
        <v>374</v>
      </c>
      <c r="D395" s="109" t="s">
        <v>1013</v>
      </c>
      <c r="E395" s="110" t="s">
        <v>463</v>
      </c>
    </row>
    <row r="396" spans="1:5" x14ac:dyDescent="0.4">
      <c r="A396" s="108" t="s">
        <v>373</v>
      </c>
      <c r="B396" s="108" t="s">
        <v>1014</v>
      </c>
      <c r="C396" s="108" t="s">
        <v>374</v>
      </c>
      <c r="D396" s="109" t="s">
        <v>1015</v>
      </c>
      <c r="E396" s="110" t="s">
        <v>463</v>
      </c>
    </row>
    <row r="397" spans="1:5" x14ac:dyDescent="0.4">
      <c r="A397" s="108" t="s">
        <v>373</v>
      </c>
      <c r="B397" s="108" t="s">
        <v>1016</v>
      </c>
      <c r="C397" s="108" t="s">
        <v>374</v>
      </c>
      <c r="D397" s="109" t="s">
        <v>183</v>
      </c>
      <c r="E397" s="110" t="s">
        <v>463</v>
      </c>
    </row>
    <row r="398" spans="1:5" x14ac:dyDescent="0.4">
      <c r="A398" s="108" t="s">
        <v>373</v>
      </c>
      <c r="B398" s="108" t="s">
        <v>1017</v>
      </c>
      <c r="C398" s="108" t="s">
        <v>374</v>
      </c>
      <c r="D398" s="109" t="s">
        <v>1018</v>
      </c>
      <c r="E398" s="110" t="s">
        <v>463</v>
      </c>
    </row>
    <row r="399" spans="1:5" x14ac:dyDescent="0.4">
      <c r="A399" s="108" t="s">
        <v>373</v>
      </c>
      <c r="B399" s="108" t="s">
        <v>1019</v>
      </c>
      <c r="C399" s="108" t="s">
        <v>374</v>
      </c>
      <c r="D399" s="109" t="s">
        <v>1020</v>
      </c>
      <c r="E399" s="110" t="s">
        <v>463</v>
      </c>
    </row>
    <row r="400" spans="1:5" x14ac:dyDescent="0.4">
      <c r="A400" s="108" t="s">
        <v>373</v>
      </c>
      <c r="B400" s="108" t="s">
        <v>1021</v>
      </c>
      <c r="C400" s="108" t="s">
        <v>374</v>
      </c>
      <c r="D400" s="109" t="s">
        <v>299</v>
      </c>
      <c r="E400" s="110" t="s">
        <v>463</v>
      </c>
    </row>
    <row r="401" spans="1:5" x14ac:dyDescent="0.4">
      <c r="A401" s="108" t="s">
        <v>373</v>
      </c>
      <c r="B401" s="108" t="s">
        <v>1022</v>
      </c>
      <c r="C401" s="108" t="s">
        <v>374</v>
      </c>
      <c r="D401" s="109" t="s">
        <v>228</v>
      </c>
      <c r="E401" s="110" t="s">
        <v>463</v>
      </c>
    </row>
    <row r="402" spans="1:5" x14ac:dyDescent="0.4">
      <c r="A402" s="108" t="s">
        <v>373</v>
      </c>
      <c r="B402" s="108" t="s">
        <v>1023</v>
      </c>
      <c r="C402" s="108" t="s">
        <v>374</v>
      </c>
      <c r="D402" s="109" t="s">
        <v>1024</v>
      </c>
      <c r="E402" s="110" t="s">
        <v>463</v>
      </c>
    </row>
    <row r="403" spans="1:5" x14ac:dyDescent="0.4">
      <c r="A403" s="108" t="s">
        <v>373</v>
      </c>
      <c r="B403" s="108" t="s">
        <v>1025</v>
      </c>
      <c r="C403" s="108" t="s">
        <v>374</v>
      </c>
      <c r="D403" s="109" t="s">
        <v>1026</v>
      </c>
      <c r="E403" s="110" t="s">
        <v>463</v>
      </c>
    </row>
    <row r="404" spans="1:5" x14ac:dyDescent="0.4">
      <c r="A404" s="108" t="s">
        <v>373</v>
      </c>
      <c r="B404" s="108" t="s">
        <v>1027</v>
      </c>
      <c r="C404" s="108" t="s">
        <v>374</v>
      </c>
      <c r="D404" s="109" t="s">
        <v>1028</v>
      </c>
      <c r="E404" s="110" t="s">
        <v>463</v>
      </c>
    </row>
    <row r="405" spans="1:5" x14ac:dyDescent="0.4">
      <c r="A405" s="108" t="s">
        <v>373</v>
      </c>
      <c r="B405" s="108" t="s">
        <v>1029</v>
      </c>
      <c r="C405" s="108" t="s">
        <v>374</v>
      </c>
      <c r="D405" s="109" t="s">
        <v>1030</v>
      </c>
      <c r="E405" s="110" t="s">
        <v>463</v>
      </c>
    </row>
    <row r="406" spans="1:5" x14ac:dyDescent="0.4">
      <c r="A406" s="108" t="s">
        <v>373</v>
      </c>
      <c r="B406" s="108" t="s">
        <v>1031</v>
      </c>
      <c r="C406" s="108" t="s">
        <v>374</v>
      </c>
      <c r="D406" s="109" t="s">
        <v>1030</v>
      </c>
      <c r="E406" s="110" t="s">
        <v>463</v>
      </c>
    </row>
    <row r="407" spans="1:5" x14ac:dyDescent="0.4">
      <c r="A407" s="108" t="s">
        <v>373</v>
      </c>
      <c r="B407" s="108" t="s">
        <v>1032</v>
      </c>
      <c r="C407" s="108" t="s">
        <v>374</v>
      </c>
      <c r="D407" s="109" t="s">
        <v>378</v>
      </c>
      <c r="E407" s="110" t="s">
        <v>463</v>
      </c>
    </row>
    <row r="408" spans="1:5" x14ac:dyDescent="0.4">
      <c r="A408" s="108" t="s">
        <v>373</v>
      </c>
      <c r="B408" s="108" t="s">
        <v>1033</v>
      </c>
      <c r="C408" s="108" t="s">
        <v>374</v>
      </c>
      <c r="D408" s="109" t="s">
        <v>137</v>
      </c>
      <c r="E408" s="110" t="s">
        <v>463</v>
      </c>
    </row>
    <row r="409" spans="1:5" x14ac:dyDescent="0.4">
      <c r="A409" s="108" t="s">
        <v>373</v>
      </c>
      <c r="B409" s="108" t="s">
        <v>1034</v>
      </c>
      <c r="C409" s="108" t="s">
        <v>374</v>
      </c>
      <c r="D409" s="109" t="s">
        <v>121</v>
      </c>
      <c r="E409" s="110" t="s">
        <v>463</v>
      </c>
    </row>
    <row r="410" spans="1:5" x14ac:dyDescent="0.4">
      <c r="A410" s="108" t="s">
        <v>373</v>
      </c>
      <c r="B410" s="108" t="s">
        <v>1035</v>
      </c>
      <c r="C410" s="108" t="s">
        <v>374</v>
      </c>
      <c r="D410" s="109" t="s">
        <v>1036</v>
      </c>
      <c r="E410" s="110" t="s">
        <v>463</v>
      </c>
    </row>
    <row r="411" spans="1:5" x14ac:dyDescent="0.4">
      <c r="A411" s="108" t="s">
        <v>373</v>
      </c>
      <c r="B411" s="108" t="s">
        <v>1037</v>
      </c>
      <c r="C411" s="108" t="s">
        <v>374</v>
      </c>
      <c r="D411" s="109" t="s">
        <v>576</v>
      </c>
      <c r="E411" s="110" t="s">
        <v>463</v>
      </c>
    </row>
    <row r="412" spans="1:5" x14ac:dyDescent="0.4">
      <c r="A412" s="108" t="s">
        <v>373</v>
      </c>
      <c r="B412" s="108" t="s">
        <v>1038</v>
      </c>
      <c r="C412" s="108" t="s">
        <v>374</v>
      </c>
      <c r="D412" s="109" t="s">
        <v>437</v>
      </c>
      <c r="E412" s="110" t="s">
        <v>463</v>
      </c>
    </row>
    <row r="413" spans="1:5" x14ac:dyDescent="0.4">
      <c r="A413" s="108" t="s">
        <v>373</v>
      </c>
      <c r="B413" s="108" t="s">
        <v>1039</v>
      </c>
      <c r="C413" s="108" t="s">
        <v>374</v>
      </c>
      <c r="D413" s="109" t="s">
        <v>1007</v>
      </c>
      <c r="E413" s="110" t="s">
        <v>463</v>
      </c>
    </row>
    <row r="414" spans="1:5" x14ac:dyDescent="0.4">
      <c r="A414" s="108" t="s">
        <v>373</v>
      </c>
      <c r="B414" s="108" t="s">
        <v>1040</v>
      </c>
      <c r="C414" s="108" t="s">
        <v>374</v>
      </c>
      <c r="D414" s="109" t="s">
        <v>1041</v>
      </c>
      <c r="E414" s="110" t="s">
        <v>463</v>
      </c>
    </row>
    <row r="415" spans="1:5" x14ac:dyDescent="0.4">
      <c r="A415" s="108" t="s">
        <v>373</v>
      </c>
      <c r="B415" s="108" t="s">
        <v>1042</v>
      </c>
      <c r="C415" s="108" t="s">
        <v>374</v>
      </c>
      <c r="D415" s="109" t="s">
        <v>417</v>
      </c>
      <c r="E415" s="110" t="s">
        <v>463</v>
      </c>
    </row>
    <row r="416" spans="1:5" x14ac:dyDescent="0.4">
      <c r="A416" s="108" t="s">
        <v>373</v>
      </c>
      <c r="B416" s="108" t="s">
        <v>1043</v>
      </c>
      <c r="C416" s="108" t="s">
        <v>374</v>
      </c>
      <c r="D416" s="109" t="s">
        <v>394</v>
      </c>
      <c r="E416" s="110" t="s">
        <v>463</v>
      </c>
    </row>
    <row r="417" spans="1:5" x14ac:dyDescent="0.4">
      <c r="A417" s="108" t="s">
        <v>373</v>
      </c>
      <c r="B417" s="108" t="s">
        <v>1044</v>
      </c>
      <c r="C417" s="108" t="s">
        <v>374</v>
      </c>
      <c r="D417" s="109" t="s">
        <v>1045</v>
      </c>
      <c r="E417" s="110" t="s">
        <v>463</v>
      </c>
    </row>
    <row r="418" spans="1:5" x14ac:dyDescent="0.4">
      <c r="A418" s="108" t="s">
        <v>373</v>
      </c>
      <c r="B418" s="108" t="s">
        <v>1046</v>
      </c>
      <c r="C418" s="108" t="s">
        <v>374</v>
      </c>
      <c r="D418" s="109" t="s">
        <v>262</v>
      </c>
      <c r="E418" s="110" t="s">
        <v>463</v>
      </c>
    </row>
    <row r="419" spans="1:5" x14ac:dyDescent="0.4">
      <c r="A419" s="108" t="s">
        <v>373</v>
      </c>
      <c r="B419" s="108" t="s">
        <v>1047</v>
      </c>
      <c r="C419" s="108" t="s">
        <v>374</v>
      </c>
      <c r="D419" s="109" t="s">
        <v>1048</v>
      </c>
      <c r="E419" s="110" t="s">
        <v>463</v>
      </c>
    </row>
    <row r="420" spans="1:5" x14ac:dyDescent="0.4">
      <c r="A420" s="108" t="s">
        <v>373</v>
      </c>
      <c r="B420" s="108" t="s">
        <v>1049</v>
      </c>
      <c r="C420" s="108" t="s">
        <v>374</v>
      </c>
      <c r="D420" s="109" t="s">
        <v>215</v>
      </c>
      <c r="E420" s="110" t="s">
        <v>463</v>
      </c>
    </row>
    <row r="421" spans="1:5" x14ac:dyDescent="0.4">
      <c r="A421" s="108" t="s">
        <v>373</v>
      </c>
      <c r="B421" s="108" t="s">
        <v>1050</v>
      </c>
      <c r="C421" s="108" t="s">
        <v>374</v>
      </c>
      <c r="D421" s="109" t="s">
        <v>1051</v>
      </c>
      <c r="E421" s="110" t="s">
        <v>463</v>
      </c>
    </row>
    <row r="422" spans="1:5" x14ac:dyDescent="0.4">
      <c r="A422" s="108" t="s">
        <v>373</v>
      </c>
      <c r="B422" s="108" t="s">
        <v>1052</v>
      </c>
      <c r="C422" s="108" t="s">
        <v>374</v>
      </c>
      <c r="D422" s="109" t="s">
        <v>1053</v>
      </c>
      <c r="E422" s="110" t="s">
        <v>463</v>
      </c>
    </row>
    <row r="423" spans="1:5" x14ac:dyDescent="0.4">
      <c r="A423" s="108" t="s">
        <v>373</v>
      </c>
      <c r="B423" s="108" t="s">
        <v>1054</v>
      </c>
      <c r="C423" s="108" t="s">
        <v>374</v>
      </c>
      <c r="D423" s="109" t="s">
        <v>1055</v>
      </c>
      <c r="E423" s="110" t="s">
        <v>463</v>
      </c>
    </row>
    <row r="424" spans="1:5" x14ac:dyDescent="0.4">
      <c r="A424" s="108" t="s">
        <v>373</v>
      </c>
      <c r="B424" s="108" t="s">
        <v>1056</v>
      </c>
      <c r="C424" s="108" t="s">
        <v>374</v>
      </c>
      <c r="D424" s="109" t="s">
        <v>1057</v>
      </c>
      <c r="E424" s="110" t="s">
        <v>463</v>
      </c>
    </row>
    <row r="425" spans="1:5" x14ac:dyDescent="0.4">
      <c r="A425" s="108" t="s">
        <v>373</v>
      </c>
      <c r="B425" s="108" t="s">
        <v>1058</v>
      </c>
      <c r="C425" s="108" t="s">
        <v>374</v>
      </c>
      <c r="D425" s="109" t="s">
        <v>316</v>
      </c>
      <c r="E425" s="110" t="s">
        <v>463</v>
      </c>
    </row>
    <row r="426" spans="1:5" x14ac:dyDescent="0.4">
      <c r="A426" s="108" t="s">
        <v>373</v>
      </c>
      <c r="B426" s="108" t="s">
        <v>1059</v>
      </c>
      <c r="C426" s="108" t="s">
        <v>374</v>
      </c>
      <c r="D426" s="109" t="s">
        <v>112</v>
      </c>
      <c r="E426" s="110" t="s">
        <v>463</v>
      </c>
    </row>
    <row r="427" spans="1:5" x14ac:dyDescent="0.4">
      <c r="A427" s="108" t="s">
        <v>373</v>
      </c>
      <c r="B427" s="108" t="s">
        <v>1060</v>
      </c>
      <c r="C427" s="108" t="s">
        <v>374</v>
      </c>
      <c r="D427" s="109" t="s">
        <v>1061</v>
      </c>
      <c r="E427" s="110" t="s">
        <v>463</v>
      </c>
    </row>
    <row r="428" spans="1:5" x14ac:dyDescent="0.4">
      <c r="A428" s="108" t="s">
        <v>373</v>
      </c>
      <c r="B428" s="108" t="s">
        <v>1062</v>
      </c>
      <c r="C428" s="108" t="s">
        <v>374</v>
      </c>
      <c r="D428" s="109" t="s">
        <v>1063</v>
      </c>
      <c r="E428" s="110" t="s">
        <v>463</v>
      </c>
    </row>
    <row r="429" spans="1:5" x14ac:dyDescent="0.4">
      <c r="A429" s="108" t="s">
        <v>373</v>
      </c>
      <c r="B429" s="108" t="s">
        <v>1064</v>
      </c>
      <c r="C429" s="108" t="s">
        <v>374</v>
      </c>
      <c r="D429" s="109" t="s">
        <v>1065</v>
      </c>
      <c r="E429" s="110" t="s">
        <v>463</v>
      </c>
    </row>
    <row r="430" spans="1:5" x14ac:dyDescent="0.4">
      <c r="A430" s="108" t="s">
        <v>373</v>
      </c>
      <c r="B430" s="108" t="s">
        <v>1066</v>
      </c>
      <c r="C430" s="108" t="s">
        <v>374</v>
      </c>
      <c r="D430" s="109" t="s">
        <v>1067</v>
      </c>
      <c r="E430" s="110" t="s">
        <v>463</v>
      </c>
    </row>
    <row r="431" spans="1:5" x14ac:dyDescent="0.4">
      <c r="A431" s="108" t="s">
        <v>373</v>
      </c>
      <c r="B431" s="108" t="s">
        <v>1068</v>
      </c>
      <c r="C431" s="108" t="s">
        <v>374</v>
      </c>
      <c r="D431" s="109" t="s">
        <v>1069</v>
      </c>
      <c r="E431" s="110" t="s">
        <v>463</v>
      </c>
    </row>
    <row r="432" spans="1:5" x14ac:dyDescent="0.4">
      <c r="A432" s="108" t="s">
        <v>373</v>
      </c>
      <c r="B432" s="108" t="s">
        <v>1070</v>
      </c>
      <c r="C432" s="108" t="s">
        <v>374</v>
      </c>
      <c r="D432" s="109" t="s">
        <v>397</v>
      </c>
      <c r="E432" s="110" t="s">
        <v>463</v>
      </c>
    </row>
    <row r="433" spans="1:5" x14ac:dyDescent="0.4">
      <c r="A433" s="108" t="s">
        <v>373</v>
      </c>
      <c r="B433" s="108" t="s">
        <v>1071</v>
      </c>
      <c r="C433" s="108" t="s">
        <v>374</v>
      </c>
      <c r="D433" s="109" t="s">
        <v>275</v>
      </c>
      <c r="E433" s="110" t="s">
        <v>463</v>
      </c>
    </row>
    <row r="434" spans="1:5" x14ac:dyDescent="0.4">
      <c r="A434" s="108" t="s">
        <v>373</v>
      </c>
      <c r="B434" s="108" t="s">
        <v>1072</v>
      </c>
      <c r="C434" s="108" t="s">
        <v>374</v>
      </c>
      <c r="D434" s="109" t="s">
        <v>1073</v>
      </c>
      <c r="E434" s="110" t="s">
        <v>463</v>
      </c>
    </row>
    <row r="435" spans="1:5" x14ac:dyDescent="0.4">
      <c r="A435" s="108" t="s">
        <v>373</v>
      </c>
      <c r="B435" s="108" t="s">
        <v>1074</v>
      </c>
      <c r="C435" s="108" t="s">
        <v>374</v>
      </c>
      <c r="D435" s="109" t="s">
        <v>221</v>
      </c>
      <c r="E435" s="110" t="s">
        <v>463</v>
      </c>
    </row>
    <row r="436" spans="1:5" x14ac:dyDescent="0.4">
      <c r="A436" s="108" t="s">
        <v>373</v>
      </c>
      <c r="B436" s="108" t="s">
        <v>1075</v>
      </c>
      <c r="C436" s="108" t="s">
        <v>374</v>
      </c>
      <c r="D436" s="109" t="s">
        <v>292</v>
      </c>
      <c r="E436" s="110" t="s">
        <v>463</v>
      </c>
    </row>
    <row r="437" spans="1:5" x14ac:dyDescent="0.4">
      <c r="A437" s="108" t="s">
        <v>373</v>
      </c>
      <c r="B437" s="108" t="s">
        <v>1076</v>
      </c>
      <c r="C437" s="108" t="s">
        <v>374</v>
      </c>
      <c r="D437" s="109" t="s">
        <v>314</v>
      </c>
      <c r="E437" s="110" t="s">
        <v>463</v>
      </c>
    </row>
    <row r="438" spans="1:5" x14ac:dyDescent="0.4">
      <c r="A438" s="108" t="s">
        <v>373</v>
      </c>
      <c r="B438" s="108" t="s">
        <v>1077</v>
      </c>
      <c r="C438" s="108" t="s">
        <v>374</v>
      </c>
      <c r="D438" s="109" t="s">
        <v>422</v>
      </c>
      <c r="E438" s="110" t="s">
        <v>463</v>
      </c>
    </row>
    <row r="439" spans="1:5" x14ac:dyDescent="0.4">
      <c r="A439" s="108" t="s">
        <v>373</v>
      </c>
      <c r="B439" s="108" t="s">
        <v>1078</v>
      </c>
      <c r="C439" s="108" t="s">
        <v>374</v>
      </c>
      <c r="D439" s="109" t="s">
        <v>304</v>
      </c>
      <c r="E439" s="110" t="s">
        <v>463</v>
      </c>
    </row>
    <row r="440" spans="1:5" x14ac:dyDescent="0.4">
      <c r="A440" s="108" t="s">
        <v>373</v>
      </c>
      <c r="B440" s="108" t="s">
        <v>1079</v>
      </c>
      <c r="C440" s="108" t="s">
        <v>374</v>
      </c>
      <c r="D440" s="109" t="s">
        <v>172</v>
      </c>
      <c r="E440" s="110" t="s">
        <v>463</v>
      </c>
    </row>
    <row r="441" spans="1:5" x14ac:dyDescent="0.4">
      <c r="A441" s="108" t="s">
        <v>373</v>
      </c>
      <c r="B441" s="108" t="s">
        <v>1080</v>
      </c>
      <c r="C441" s="108" t="s">
        <v>374</v>
      </c>
      <c r="D441" s="109" t="s">
        <v>236</v>
      </c>
      <c r="E441" s="110" t="s">
        <v>463</v>
      </c>
    </row>
    <row r="442" spans="1:5" x14ac:dyDescent="0.4">
      <c r="A442" s="108" t="s">
        <v>373</v>
      </c>
      <c r="B442" s="108" t="s">
        <v>1081</v>
      </c>
      <c r="C442" s="108" t="s">
        <v>374</v>
      </c>
      <c r="D442" s="109" t="s">
        <v>440</v>
      </c>
      <c r="E442" s="110" t="s">
        <v>463</v>
      </c>
    </row>
    <row r="443" spans="1:5" x14ac:dyDescent="0.4">
      <c r="A443" s="108" t="s">
        <v>373</v>
      </c>
      <c r="B443" s="108" t="s">
        <v>1082</v>
      </c>
      <c r="C443" s="108" t="s">
        <v>374</v>
      </c>
      <c r="D443" s="109" t="s">
        <v>180</v>
      </c>
      <c r="E443" s="110" t="s">
        <v>463</v>
      </c>
    </row>
    <row r="444" spans="1:5" x14ac:dyDescent="0.4">
      <c r="A444" s="108" t="s">
        <v>373</v>
      </c>
      <c r="B444" s="108" t="s">
        <v>1083</v>
      </c>
      <c r="C444" s="108" t="s">
        <v>374</v>
      </c>
      <c r="D444" s="109" t="s">
        <v>192</v>
      </c>
      <c r="E444" s="110" t="s">
        <v>463</v>
      </c>
    </row>
    <row r="445" spans="1:5" x14ac:dyDescent="0.4">
      <c r="A445" s="108" t="s">
        <v>373</v>
      </c>
      <c r="B445" s="108" t="s">
        <v>1084</v>
      </c>
      <c r="C445" s="108" t="s">
        <v>374</v>
      </c>
      <c r="D445" s="109" t="s">
        <v>1085</v>
      </c>
      <c r="E445" s="110" t="s">
        <v>463</v>
      </c>
    </row>
    <row r="446" spans="1:5" x14ac:dyDescent="0.4">
      <c r="A446" s="108" t="s">
        <v>373</v>
      </c>
      <c r="B446" s="108" t="s">
        <v>1086</v>
      </c>
      <c r="C446" s="108" t="s">
        <v>374</v>
      </c>
      <c r="D446" s="109" t="s">
        <v>1048</v>
      </c>
      <c r="E446" s="110" t="s">
        <v>463</v>
      </c>
    </row>
    <row r="447" spans="1:5" x14ac:dyDescent="0.4">
      <c r="A447" s="108" t="s">
        <v>373</v>
      </c>
      <c r="B447" s="108" t="s">
        <v>1087</v>
      </c>
      <c r="C447" s="108" t="s">
        <v>374</v>
      </c>
      <c r="D447" s="109" t="s">
        <v>1088</v>
      </c>
      <c r="E447" s="110" t="s">
        <v>463</v>
      </c>
    </row>
    <row r="448" spans="1:5" x14ac:dyDescent="0.4">
      <c r="A448" s="108" t="s">
        <v>373</v>
      </c>
      <c r="B448" s="108" t="s">
        <v>1089</v>
      </c>
      <c r="C448" s="108" t="s">
        <v>374</v>
      </c>
      <c r="D448" s="109" t="s">
        <v>834</v>
      </c>
      <c r="E448" s="110" t="s">
        <v>463</v>
      </c>
    </row>
    <row r="449" spans="1:5" x14ac:dyDescent="0.4">
      <c r="A449" s="108" t="s">
        <v>373</v>
      </c>
      <c r="B449" s="108" t="s">
        <v>1090</v>
      </c>
      <c r="C449" s="108" t="s">
        <v>374</v>
      </c>
      <c r="D449" s="109" t="s">
        <v>156</v>
      </c>
      <c r="E449" s="110" t="s">
        <v>463</v>
      </c>
    </row>
    <row r="450" spans="1:5" x14ac:dyDescent="0.4">
      <c r="A450" s="108" t="s">
        <v>373</v>
      </c>
      <c r="B450" s="108" t="s">
        <v>1091</v>
      </c>
      <c r="C450" s="108" t="s">
        <v>374</v>
      </c>
      <c r="D450" s="109" t="s">
        <v>1092</v>
      </c>
      <c r="E450" s="110" t="s">
        <v>463</v>
      </c>
    </row>
    <row r="451" spans="1:5" x14ac:dyDescent="0.4">
      <c r="A451" s="108" t="s">
        <v>373</v>
      </c>
      <c r="B451" s="108" t="s">
        <v>1093</v>
      </c>
      <c r="C451" s="108" t="s">
        <v>374</v>
      </c>
      <c r="D451" s="109" t="s">
        <v>1094</v>
      </c>
      <c r="E451" s="110" t="s">
        <v>463</v>
      </c>
    </row>
    <row r="452" spans="1:5" x14ac:dyDescent="0.4">
      <c r="A452" s="108" t="s">
        <v>373</v>
      </c>
      <c r="B452" s="108" t="s">
        <v>1095</v>
      </c>
      <c r="C452" s="108" t="s">
        <v>374</v>
      </c>
      <c r="D452" s="109" t="s">
        <v>1096</v>
      </c>
      <c r="E452" s="110" t="s">
        <v>463</v>
      </c>
    </row>
    <row r="453" spans="1:5" x14ac:dyDescent="0.4">
      <c r="A453" s="108" t="s">
        <v>373</v>
      </c>
      <c r="B453" s="108" t="s">
        <v>1097</v>
      </c>
      <c r="C453" s="108" t="s">
        <v>374</v>
      </c>
      <c r="D453" s="109" t="s">
        <v>201</v>
      </c>
      <c r="E453" s="110" t="s">
        <v>463</v>
      </c>
    </row>
    <row r="454" spans="1:5" x14ac:dyDescent="0.4">
      <c r="A454" s="108" t="s">
        <v>373</v>
      </c>
      <c r="B454" s="108" t="s">
        <v>1098</v>
      </c>
      <c r="C454" s="108" t="s">
        <v>374</v>
      </c>
      <c r="D454" s="109" t="s">
        <v>1099</v>
      </c>
      <c r="E454" s="110" t="s">
        <v>463</v>
      </c>
    </row>
    <row r="455" spans="1:5" x14ac:dyDescent="0.4">
      <c r="A455" s="108" t="s">
        <v>373</v>
      </c>
      <c r="B455" s="108" t="s">
        <v>1100</v>
      </c>
      <c r="C455" s="108" t="s">
        <v>374</v>
      </c>
      <c r="D455" s="109" t="s">
        <v>1096</v>
      </c>
      <c r="E455" s="110" t="s">
        <v>463</v>
      </c>
    </row>
    <row r="456" spans="1:5" x14ac:dyDescent="0.4">
      <c r="A456" s="108" t="s">
        <v>373</v>
      </c>
      <c r="B456" s="108" t="s">
        <v>1101</v>
      </c>
      <c r="C456" s="108" t="s">
        <v>374</v>
      </c>
      <c r="D456" s="109" t="s">
        <v>1102</v>
      </c>
      <c r="E456" s="110" t="s">
        <v>463</v>
      </c>
    </row>
    <row r="457" spans="1:5" x14ac:dyDescent="0.4">
      <c r="A457" s="108" t="s">
        <v>373</v>
      </c>
      <c r="B457" s="108" t="s">
        <v>1103</v>
      </c>
      <c r="C457" s="108" t="s">
        <v>374</v>
      </c>
      <c r="D457" s="109" t="s">
        <v>645</v>
      </c>
      <c r="E457" s="110" t="s">
        <v>463</v>
      </c>
    </row>
    <row r="458" spans="1:5" x14ac:dyDescent="0.4">
      <c r="A458" s="108" t="s">
        <v>373</v>
      </c>
      <c r="B458" s="108" t="s">
        <v>1104</v>
      </c>
      <c r="C458" s="108" t="s">
        <v>374</v>
      </c>
      <c r="D458" s="109" t="s">
        <v>1105</v>
      </c>
      <c r="E458" s="110" t="s">
        <v>463</v>
      </c>
    </row>
    <row r="459" spans="1:5" x14ac:dyDescent="0.4">
      <c r="A459" s="108" t="s">
        <v>373</v>
      </c>
      <c r="B459" s="108" t="s">
        <v>1106</v>
      </c>
      <c r="C459" s="108" t="s">
        <v>374</v>
      </c>
      <c r="D459" s="109" t="s">
        <v>1107</v>
      </c>
      <c r="E459" s="110" t="s">
        <v>463</v>
      </c>
    </row>
    <row r="460" spans="1:5" x14ac:dyDescent="0.4">
      <c r="A460" s="108" t="s">
        <v>373</v>
      </c>
      <c r="B460" s="108" t="s">
        <v>1108</v>
      </c>
      <c r="C460" s="108" t="s">
        <v>374</v>
      </c>
      <c r="D460" s="109" t="s">
        <v>154</v>
      </c>
      <c r="E460" s="110" t="s">
        <v>463</v>
      </c>
    </row>
    <row r="461" spans="1:5" x14ac:dyDescent="0.4">
      <c r="A461" s="108" t="s">
        <v>373</v>
      </c>
      <c r="B461" s="108" t="s">
        <v>1109</v>
      </c>
      <c r="C461" s="108" t="s">
        <v>374</v>
      </c>
      <c r="D461" s="109" t="s">
        <v>195</v>
      </c>
      <c r="E461" s="110" t="s">
        <v>463</v>
      </c>
    </row>
    <row r="462" spans="1:5" x14ac:dyDescent="0.4">
      <c r="A462" s="108" t="s">
        <v>373</v>
      </c>
      <c r="B462" s="108" t="s">
        <v>1110</v>
      </c>
      <c r="C462" s="108" t="s">
        <v>374</v>
      </c>
      <c r="D462" s="109" t="s">
        <v>379</v>
      </c>
      <c r="E462" s="110" t="s">
        <v>463</v>
      </c>
    </row>
    <row r="463" spans="1:5" x14ac:dyDescent="0.4">
      <c r="A463" s="108" t="s">
        <v>373</v>
      </c>
      <c r="B463" s="108" t="s">
        <v>1111</v>
      </c>
      <c r="C463" s="108" t="s">
        <v>374</v>
      </c>
      <c r="D463" s="109" t="s">
        <v>1112</v>
      </c>
      <c r="E463" s="110" t="s">
        <v>463</v>
      </c>
    </row>
    <row r="464" spans="1:5" x14ac:dyDescent="0.4">
      <c r="A464" s="108" t="s">
        <v>373</v>
      </c>
      <c r="B464" s="108" t="s">
        <v>1113</v>
      </c>
      <c r="C464" s="108" t="s">
        <v>374</v>
      </c>
      <c r="D464" s="109" t="s">
        <v>1114</v>
      </c>
      <c r="E464" s="110" t="s">
        <v>463</v>
      </c>
    </row>
    <row r="465" spans="1:5" x14ac:dyDescent="0.4">
      <c r="A465" s="108" t="s">
        <v>373</v>
      </c>
      <c r="B465" s="108" t="s">
        <v>1115</v>
      </c>
      <c r="C465" s="108" t="s">
        <v>374</v>
      </c>
      <c r="D465" s="109" t="s">
        <v>1116</v>
      </c>
      <c r="E465" s="110" t="s">
        <v>463</v>
      </c>
    </row>
    <row r="466" spans="1:5" x14ac:dyDescent="0.4">
      <c r="A466" s="108" t="s">
        <v>373</v>
      </c>
      <c r="B466" s="108" t="s">
        <v>1117</v>
      </c>
      <c r="C466" s="108" t="s">
        <v>374</v>
      </c>
      <c r="D466" s="109" t="s">
        <v>424</v>
      </c>
      <c r="E466" s="110" t="s">
        <v>463</v>
      </c>
    </row>
    <row r="467" spans="1:5" x14ac:dyDescent="0.4">
      <c r="A467" s="108" t="s">
        <v>373</v>
      </c>
      <c r="B467" s="108" t="s">
        <v>1118</v>
      </c>
      <c r="C467" s="108" t="s">
        <v>374</v>
      </c>
      <c r="D467" s="109" t="s">
        <v>1094</v>
      </c>
      <c r="E467" s="110" t="s">
        <v>463</v>
      </c>
    </row>
    <row r="468" spans="1:5" x14ac:dyDescent="0.4">
      <c r="A468" s="108" t="s">
        <v>373</v>
      </c>
      <c r="B468" s="108" t="s">
        <v>1119</v>
      </c>
      <c r="C468" s="108" t="s">
        <v>374</v>
      </c>
      <c r="D468" s="109" t="s">
        <v>1120</v>
      </c>
      <c r="E468" s="110" t="s">
        <v>463</v>
      </c>
    </row>
    <row r="469" spans="1:5" x14ac:dyDescent="0.4">
      <c r="A469" s="108" t="s">
        <v>373</v>
      </c>
      <c r="B469" s="108" t="s">
        <v>1121</v>
      </c>
      <c r="C469" s="108" t="s">
        <v>374</v>
      </c>
      <c r="D469" s="109" t="s">
        <v>220</v>
      </c>
      <c r="E469" s="110" t="s">
        <v>463</v>
      </c>
    </row>
    <row r="470" spans="1:5" x14ac:dyDescent="0.4">
      <c r="A470" s="108" t="s">
        <v>373</v>
      </c>
      <c r="B470" s="108" t="s">
        <v>1122</v>
      </c>
      <c r="C470" s="108" t="s">
        <v>374</v>
      </c>
      <c r="D470" s="109" t="s">
        <v>1123</v>
      </c>
      <c r="E470" s="110" t="s">
        <v>463</v>
      </c>
    </row>
    <row r="471" spans="1:5" x14ac:dyDescent="0.4">
      <c r="A471" s="108" t="s">
        <v>373</v>
      </c>
      <c r="B471" s="108" t="s">
        <v>1124</v>
      </c>
      <c r="C471" s="108" t="s">
        <v>374</v>
      </c>
      <c r="D471" s="109" t="s">
        <v>1125</v>
      </c>
      <c r="E471" s="110" t="s">
        <v>463</v>
      </c>
    </row>
    <row r="472" spans="1:5" x14ac:dyDescent="0.4">
      <c r="A472" s="108" t="s">
        <v>373</v>
      </c>
      <c r="B472" s="108" t="s">
        <v>1126</v>
      </c>
      <c r="C472" s="108" t="s">
        <v>374</v>
      </c>
      <c r="D472" s="109" t="s">
        <v>1127</v>
      </c>
      <c r="E472" s="110" t="s">
        <v>463</v>
      </c>
    </row>
    <row r="473" spans="1:5" x14ac:dyDescent="0.4">
      <c r="A473" s="108" t="s">
        <v>373</v>
      </c>
      <c r="B473" s="108" t="s">
        <v>1128</v>
      </c>
      <c r="C473" s="108" t="s">
        <v>374</v>
      </c>
      <c r="D473" s="109" t="s">
        <v>287</v>
      </c>
      <c r="E473" s="110" t="s">
        <v>463</v>
      </c>
    </row>
    <row r="474" spans="1:5" x14ac:dyDescent="0.4">
      <c r="A474" s="108" t="s">
        <v>373</v>
      </c>
      <c r="B474" s="108" t="s">
        <v>1129</v>
      </c>
      <c r="C474" s="108" t="s">
        <v>374</v>
      </c>
      <c r="D474" s="109" t="s">
        <v>953</v>
      </c>
      <c r="E474" s="110" t="s">
        <v>463</v>
      </c>
    </row>
    <row r="475" spans="1:5" x14ac:dyDescent="0.4">
      <c r="A475" s="108" t="s">
        <v>373</v>
      </c>
      <c r="B475" s="108" t="s">
        <v>1130</v>
      </c>
      <c r="C475" s="108" t="s">
        <v>374</v>
      </c>
      <c r="D475" s="109" t="s">
        <v>1131</v>
      </c>
      <c r="E475" s="110" t="s">
        <v>463</v>
      </c>
    </row>
    <row r="476" spans="1:5" x14ac:dyDescent="0.4">
      <c r="A476" s="108" t="s">
        <v>373</v>
      </c>
      <c r="B476" s="108" t="s">
        <v>1132</v>
      </c>
      <c r="C476" s="108" t="s">
        <v>374</v>
      </c>
      <c r="D476" s="109" t="s">
        <v>1133</v>
      </c>
      <c r="E476" s="110" t="s">
        <v>463</v>
      </c>
    </row>
    <row r="477" spans="1:5" x14ac:dyDescent="0.4">
      <c r="A477" s="108" t="s">
        <v>373</v>
      </c>
      <c r="B477" s="108" t="s">
        <v>1134</v>
      </c>
      <c r="C477" s="108" t="s">
        <v>374</v>
      </c>
      <c r="D477" s="109" t="s">
        <v>436</v>
      </c>
      <c r="E477" s="110" t="s">
        <v>463</v>
      </c>
    </row>
    <row r="478" spans="1:5" x14ac:dyDescent="0.4">
      <c r="A478" s="108" t="s">
        <v>373</v>
      </c>
      <c r="B478" s="108" t="s">
        <v>1135</v>
      </c>
      <c r="C478" s="108" t="s">
        <v>374</v>
      </c>
      <c r="D478" s="109" t="s">
        <v>1136</v>
      </c>
      <c r="E478" s="110" t="s">
        <v>463</v>
      </c>
    </row>
    <row r="479" spans="1:5" x14ac:dyDescent="0.4">
      <c r="A479" s="108" t="s">
        <v>373</v>
      </c>
      <c r="B479" s="108" t="s">
        <v>1137</v>
      </c>
      <c r="C479" s="108" t="s">
        <v>374</v>
      </c>
      <c r="D479" s="109" t="s">
        <v>1138</v>
      </c>
      <c r="E479" s="110" t="s">
        <v>463</v>
      </c>
    </row>
    <row r="480" spans="1:5" x14ac:dyDescent="0.4">
      <c r="A480" s="108" t="s">
        <v>373</v>
      </c>
      <c r="B480" s="108" t="s">
        <v>1139</v>
      </c>
      <c r="C480" s="108" t="s">
        <v>374</v>
      </c>
      <c r="D480" s="109" t="s">
        <v>84</v>
      </c>
      <c r="E480" s="110" t="s">
        <v>463</v>
      </c>
    </row>
    <row r="481" spans="1:5" x14ac:dyDescent="0.4">
      <c r="A481" s="108" t="s">
        <v>373</v>
      </c>
      <c r="B481" s="108" t="s">
        <v>1140</v>
      </c>
      <c r="C481" s="108" t="s">
        <v>374</v>
      </c>
      <c r="D481" s="109" t="s">
        <v>84</v>
      </c>
      <c r="E481" s="110" t="s">
        <v>463</v>
      </c>
    </row>
    <row r="482" spans="1:5" x14ac:dyDescent="0.4">
      <c r="A482" s="108" t="s">
        <v>373</v>
      </c>
      <c r="B482" s="108" t="s">
        <v>1141</v>
      </c>
      <c r="C482" s="108" t="s">
        <v>374</v>
      </c>
      <c r="D482" s="109" t="s">
        <v>84</v>
      </c>
      <c r="E482" s="110" t="s">
        <v>463</v>
      </c>
    </row>
    <row r="483" spans="1:5" x14ac:dyDescent="0.4">
      <c r="A483" s="108" t="s">
        <v>373</v>
      </c>
      <c r="B483" s="108" t="s">
        <v>1142</v>
      </c>
      <c r="C483" s="108" t="s">
        <v>374</v>
      </c>
      <c r="D483" s="109" t="s">
        <v>84</v>
      </c>
      <c r="E483" s="110" t="s">
        <v>463</v>
      </c>
    </row>
    <row r="484" spans="1:5" x14ac:dyDescent="0.4">
      <c r="A484" s="108" t="s">
        <v>373</v>
      </c>
      <c r="B484" s="108" t="s">
        <v>1143</v>
      </c>
      <c r="C484" s="108" t="s">
        <v>374</v>
      </c>
      <c r="D484" s="109" t="s">
        <v>84</v>
      </c>
      <c r="E484" s="110" t="s">
        <v>463</v>
      </c>
    </row>
    <row r="485" spans="1:5" x14ac:dyDescent="0.4">
      <c r="A485" s="108" t="s">
        <v>373</v>
      </c>
      <c r="B485" s="108" t="s">
        <v>1144</v>
      </c>
      <c r="C485" s="108" t="s">
        <v>374</v>
      </c>
      <c r="D485" s="109" t="s">
        <v>84</v>
      </c>
      <c r="E485" s="110" t="s">
        <v>463</v>
      </c>
    </row>
    <row r="486" spans="1:5" x14ac:dyDescent="0.4">
      <c r="A486" s="108" t="s">
        <v>373</v>
      </c>
      <c r="B486" s="108" t="s">
        <v>1139</v>
      </c>
      <c r="C486" s="108" t="s">
        <v>374</v>
      </c>
      <c r="D486" s="109" t="s">
        <v>84</v>
      </c>
      <c r="E486" s="110" t="s">
        <v>463</v>
      </c>
    </row>
    <row r="487" spans="1:5" x14ac:dyDescent="0.4">
      <c r="A487" s="108" t="s">
        <v>373</v>
      </c>
      <c r="B487" s="108" t="s">
        <v>1145</v>
      </c>
      <c r="C487" s="108" t="s">
        <v>374</v>
      </c>
      <c r="D487" s="109" t="s">
        <v>84</v>
      </c>
      <c r="E487" s="110" t="s">
        <v>463</v>
      </c>
    </row>
    <row r="488" spans="1:5" x14ac:dyDescent="0.4">
      <c r="A488" s="108" t="s">
        <v>373</v>
      </c>
      <c r="B488" s="108" t="s">
        <v>1146</v>
      </c>
      <c r="C488" s="108" t="s">
        <v>374</v>
      </c>
      <c r="D488" s="109" t="s">
        <v>84</v>
      </c>
      <c r="E488" s="110" t="s">
        <v>463</v>
      </c>
    </row>
    <row r="489" spans="1:5" x14ac:dyDescent="0.4">
      <c r="A489" s="108" t="s">
        <v>373</v>
      </c>
      <c r="B489" s="108" t="s">
        <v>1147</v>
      </c>
      <c r="C489" s="108" t="s">
        <v>374</v>
      </c>
      <c r="D489" s="109" t="s">
        <v>84</v>
      </c>
      <c r="E489" s="110" t="s">
        <v>463</v>
      </c>
    </row>
    <row r="490" spans="1:5" x14ac:dyDescent="0.4">
      <c r="A490" s="108" t="s">
        <v>373</v>
      </c>
      <c r="B490" s="108" t="s">
        <v>1148</v>
      </c>
      <c r="C490" s="108" t="s">
        <v>374</v>
      </c>
      <c r="D490" s="109" t="s">
        <v>84</v>
      </c>
      <c r="E490" s="110" t="s">
        <v>463</v>
      </c>
    </row>
    <row r="491" spans="1:5" x14ac:dyDescent="0.4">
      <c r="A491" s="108" t="s">
        <v>373</v>
      </c>
      <c r="B491" s="108" t="s">
        <v>1149</v>
      </c>
      <c r="C491" s="108" t="s">
        <v>374</v>
      </c>
      <c r="D491" s="109" t="s">
        <v>84</v>
      </c>
      <c r="E491" s="110" t="s">
        <v>463</v>
      </c>
    </row>
    <row r="492" spans="1:5" x14ac:dyDescent="0.4">
      <c r="A492" s="108" t="s">
        <v>373</v>
      </c>
      <c r="B492" s="108" t="s">
        <v>1150</v>
      </c>
      <c r="C492" s="108" t="s">
        <v>374</v>
      </c>
      <c r="D492" s="109" t="s">
        <v>84</v>
      </c>
      <c r="E492" s="110" t="s">
        <v>463</v>
      </c>
    </row>
    <row r="493" spans="1:5" x14ac:dyDescent="0.4">
      <c r="A493" s="108" t="s">
        <v>373</v>
      </c>
      <c r="B493" s="108" t="s">
        <v>1151</v>
      </c>
      <c r="C493" s="108" t="s">
        <v>374</v>
      </c>
      <c r="D493" s="109" t="s">
        <v>84</v>
      </c>
      <c r="E493" s="110" t="s">
        <v>463</v>
      </c>
    </row>
    <row r="494" spans="1:5" x14ac:dyDescent="0.4">
      <c r="A494" s="108" t="s">
        <v>373</v>
      </c>
      <c r="B494" s="108" t="s">
        <v>1152</v>
      </c>
      <c r="C494" s="108" t="s">
        <v>374</v>
      </c>
      <c r="D494" s="109" t="s">
        <v>84</v>
      </c>
      <c r="E494" s="110" t="s">
        <v>463</v>
      </c>
    </row>
    <row r="495" spans="1:5" x14ac:dyDescent="0.4">
      <c r="A495" s="108" t="s">
        <v>373</v>
      </c>
      <c r="B495" s="108" t="s">
        <v>1153</v>
      </c>
      <c r="C495" s="108" t="s">
        <v>374</v>
      </c>
      <c r="D495" s="109" t="s">
        <v>84</v>
      </c>
      <c r="E495" s="110" t="s">
        <v>463</v>
      </c>
    </row>
    <row r="496" spans="1:5" x14ac:dyDescent="0.4">
      <c r="A496" s="108" t="s">
        <v>373</v>
      </c>
      <c r="B496" s="108" t="s">
        <v>1154</v>
      </c>
      <c r="C496" s="108" t="s">
        <v>374</v>
      </c>
      <c r="D496" s="109" t="s">
        <v>84</v>
      </c>
      <c r="E496" s="110" t="s">
        <v>463</v>
      </c>
    </row>
    <row r="497" spans="1:5" x14ac:dyDescent="0.4">
      <c r="A497" s="108" t="s">
        <v>373</v>
      </c>
      <c r="B497" s="108" t="s">
        <v>1155</v>
      </c>
      <c r="C497" s="108" t="s">
        <v>374</v>
      </c>
      <c r="D497" s="109" t="s">
        <v>84</v>
      </c>
      <c r="E497" s="110" t="s">
        <v>463</v>
      </c>
    </row>
    <row r="498" spans="1:5" x14ac:dyDescent="0.4">
      <c r="A498" s="108" t="s">
        <v>373</v>
      </c>
      <c r="B498" s="108" t="s">
        <v>1156</v>
      </c>
      <c r="C498" s="108" t="s">
        <v>374</v>
      </c>
      <c r="D498" s="109" t="s">
        <v>84</v>
      </c>
      <c r="E498" s="110" t="s">
        <v>463</v>
      </c>
    </row>
    <row r="499" spans="1:5" x14ac:dyDescent="0.4">
      <c r="A499" s="108" t="s">
        <v>373</v>
      </c>
      <c r="B499" s="108" t="s">
        <v>1157</v>
      </c>
      <c r="C499" s="108" t="s">
        <v>374</v>
      </c>
      <c r="D499" s="109" t="s">
        <v>84</v>
      </c>
      <c r="E499" s="110" t="s">
        <v>463</v>
      </c>
    </row>
    <row r="500" spans="1:5" x14ac:dyDescent="0.4">
      <c r="A500" s="108" t="s">
        <v>1158</v>
      </c>
      <c r="B500" s="108" t="s">
        <v>1159</v>
      </c>
      <c r="C500" s="108" t="s">
        <v>374</v>
      </c>
      <c r="D500" s="109" t="s">
        <v>84</v>
      </c>
      <c r="E500" s="110" t="s">
        <v>463</v>
      </c>
    </row>
    <row r="501" spans="1:5" x14ac:dyDescent="0.4">
      <c r="A501" s="108" t="s">
        <v>1158</v>
      </c>
      <c r="B501" s="108" t="s">
        <v>1160</v>
      </c>
      <c r="C501" s="108" t="s">
        <v>374</v>
      </c>
      <c r="D501" s="109" t="s">
        <v>84</v>
      </c>
      <c r="E501" s="110" t="s">
        <v>463</v>
      </c>
    </row>
    <row r="502" spans="1:5" x14ac:dyDescent="0.4">
      <c r="A502" s="108" t="s">
        <v>385</v>
      </c>
      <c r="B502" s="108" t="s">
        <v>451</v>
      </c>
      <c r="C502" s="108" t="s">
        <v>374</v>
      </c>
      <c r="D502" s="109" t="s">
        <v>447</v>
      </c>
      <c r="E502" s="110" t="s">
        <v>463</v>
      </c>
    </row>
  </sheetData>
  <mergeCells count="1">
    <mergeCell ref="A1:E1"/>
  </mergeCells>
  <conditionalFormatting sqref="A3:E502">
    <cfRule type="expression" dxfId="9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7BBFAC-665F-41EB-87A0-C7E6B63C2F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SIMULADOR</vt:lpstr>
      <vt:lpstr>MI META</vt:lpstr>
      <vt:lpstr>TASAS EN VIVO</vt:lpstr>
      <vt:lpstr>_DATOS_API</vt:lpstr>
      <vt:lpstr>_DATOS_FPV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Romero</cp:lastModifiedBy>
  <cp:revision>1</cp:revision>
  <dcterms:created xsi:type="dcterms:W3CDTF">2026-02-20T14:23:21Z</dcterms:created>
  <dcterms:modified xsi:type="dcterms:W3CDTF">2026-03-23T01:19:04Z</dcterms:modified>
  <dc:language>en-US</dc:language>
</cp:coreProperties>
</file>